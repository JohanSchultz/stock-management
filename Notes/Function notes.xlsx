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nvision\Cursor\stockmanagement\Notes\"/>
    </mc:Choice>
  </mc:AlternateContent>
  <xr:revisionPtr revIDLastSave="0" documentId="13_ncr:1_{2FF48F7B-DA22-485C-8378-1DB08360CDEF}" xr6:coauthVersionLast="47" xr6:coauthVersionMax="47" xr10:uidLastSave="{00000000-0000-0000-0000-000000000000}"/>
  <bookViews>
    <workbookView xWindow="57480" yWindow="-120" windowWidth="29040" windowHeight="15720" activeTab="2" xr2:uid="{9CBB7EE9-BC98-484E-AF7B-064CC0EC69BB}"/>
  </bookViews>
  <sheets>
    <sheet name="Inklomste vir Belasting 2025" sheetId="1" r:id="rId1"/>
    <sheet name="Inklomste vir Belasting 2026" sheetId="6" r:id="rId2"/>
    <sheet name="Sheet1" sheetId="9" r:id="rId3"/>
    <sheet name="Sheet5" sheetId="8" r:id="rId4"/>
    <sheet name="Sheet2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" i="8" l="1"/>
  <c r="H32" i="8"/>
  <c r="E27" i="6"/>
  <c r="D27" i="6"/>
  <c r="N4" i="8" l="1"/>
  <c r="P4" i="8" s="1"/>
  <c r="B19" i="8"/>
  <c r="L5" i="6"/>
  <c r="L7" i="6"/>
  <c r="G27" i="6"/>
  <c r="F27" i="6"/>
  <c r="H27" i="6"/>
  <c r="N27" i="6"/>
  <c r="H32" i="10"/>
  <c r="F33" i="10"/>
  <c r="F34" i="10"/>
  <c r="F32" i="10"/>
  <c r="C33" i="10"/>
  <c r="H33" i="10" s="1"/>
  <c r="C34" i="10"/>
  <c r="H34" i="10" s="1"/>
  <c r="C32" i="10"/>
  <c r="H28" i="10"/>
  <c r="H29" i="10"/>
  <c r="H27" i="10"/>
  <c r="H20" i="10"/>
  <c r="H21" i="10"/>
  <c r="H19" i="10"/>
  <c r="K27" i="6"/>
  <c r="L3" i="6"/>
  <c r="L2" i="6"/>
  <c r="F32" i="8"/>
  <c r="P14" i="6" l="1"/>
  <c r="B32" i="8"/>
  <c r="H15" i="1"/>
  <c r="G15" i="1"/>
  <c r="F15" i="1"/>
  <c r="V19" i="1"/>
  <c r="U19" i="1"/>
  <c r="T16" i="1"/>
  <c r="P16" i="1"/>
  <c r="S16" i="1"/>
  <c r="N14" i="1"/>
  <c r="B8" i="1"/>
  <c r="C8" i="1" s="1"/>
  <c r="Y16" i="1" l="1"/>
  <c r="Y19" i="1"/>
  <c r="I15" i="1"/>
</calcChain>
</file>

<file path=xl/sharedStrings.xml><?xml version="1.0" encoding="utf-8"?>
<sst xmlns="http://schemas.openxmlformats.org/spreadsheetml/2006/main" count="157" uniqueCount="111">
  <si>
    <t>Capri</t>
  </si>
  <si>
    <t>Sorrento</t>
  </si>
  <si>
    <t>TFSA</t>
  </si>
  <si>
    <t>MT</t>
  </si>
  <si>
    <t>APEX</t>
  </si>
  <si>
    <t>Glacier</t>
  </si>
  <si>
    <t>CAPRI</t>
  </si>
  <si>
    <t>SORRENTO</t>
  </si>
  <si>
    <t>Miningtools</t>
  </si>
  <si>
    <t>ID</t>
  </si>
  <si>
    <t>DateIn</t>
  </si>
  <si>
    <t>Tania</t>
  </si>
  <si>
    <t>Sonja</t>
  </si>
  <si>
    <t>Dewald</t>
  </si>
  <si>
    <t>Internet</t>
  </si>
  <si>
    <t>Bediendes</t>
  </si>
  <si>
    <t>MTN</t>
  </si>
  <si>
    <t>Kerk</t>
  </si>
  <si>
    <t>Gym</t>
  </si>
  <si>
    <t>Discovery</t>
  </si>
  <si>
    <t>Netflix</t>
  </si>
  <si>
    <t>Absolut</t>
  </si>
  <si>
    <t>Colin</t>
  </si>
  <si>
    <t>Hare</t>
  </si>
  <si>
    <t>Gas</t>
  </si>
  <si>
    <t>Karre</t>
  </si>
  <si>
    <t>Pensioen</t>
  </si>
  <si>
    <t>Kollekte</t>
  </si>
  <si>
    <t>Belasting</t>
  </si>
  <si>
    <t>04 Mei 2026</t>
  </si>
  <si>
    <t>27 Mei 2026</t>
  </si>
  <si>
    <t>Microsoft Office</t>
  </si>
  <si>
    <t>Bankkostes</t>
  </si>
  <si>
    <t>HostPapa</t>
  </si>
  <si>
    <t>Selfoon</t>
  </si>
  <si>
    <t>Water &amp; Ligte</t>
  </si>
  <si>
    <t>Kruideniersware (ek)</t>
  </si>
  <si>
    <t>Korttermyn versekering</t>
  </si>
  <si>
    <t>CM25610</t>
  </si>
  <si>
    <t>CM25611</t>
  </si>
  <si>
    <t>CM25613</t>
  </si>
  <si>
    <t>BETALINGS</t>
  </si>
  <si>
    <t>INVOICES</t>
  </si>
  <si>
    <t>ACL18601</t>
  </si>
  <si>
    <t>Petrol (ek)</t>
  </si>
  <si>
    <t>CM25614</t>
  </si>
  <si>
    <t>Book In #</t>
  </si>
  <si>
    <t>Order In #</t>
  </si>
  <si>
    <t>sugar</t>
  </si>
  <si>
    <t>Flour</t>
  </si>
  <si>
    <t>Qty</t>
  </si>
  <si>
    <t>pi_booking_in</t>
  </si>
  <si>
    <t>pi_booking_out</t>
  </si>
  <si>
    <t>pu_booking_in</t>
  </si>
  <si>
    <t>pu_booking_out</t>
  </si>
  <si>
    <t>p_orders_in_id</t>
  </si>
  <si>
    <t>p_customer_id</t>
  </si>
  <si>
    <t>p_orders_out_id</t>
  </si>
  <si>
    <t>p_unit_price</t>
  </si>
  <si>
    <t>p_qty_on_order</t>
  </si>
  <si>
    <t>p_qty_reserved</t>
  </si>
  <si>
    <t>pr_booking_in_all</t>
  </si>
  <si>
    <t>pr_booking_in_by_stock_code</t>
  </si>
  <si>
    <t>pr_booking_in_last_three_months</t>
  </si>
  <si>
    <t>stock_item_id,balance</t>
  </si>
  <si>
    <t>9,25</t>
  </si>
  <si>
    <t>4,-48.5</t>
  </si>
  <si>
    <t>14,-76</t>
  </si>
  <si>
    <t>12,51</t>
  </si>
  <si>
    <t>| stock_code | max        | ?column?              | coalesce |</t>
  </si>
  <si>
    <t>| ---------- | ---------- | --------------------- | -------- |</t>
  </si>
  <si>
    <t>| COC245     | 2026-07-15 | 7 days 05:24:18.37581 | 51       |</t>
  </si>
  <si>
    <t>| CSG565     | 2026-07-15 | 7 days 05:24:18.37581 | -76      |</t>
  </si>
  <si>
    <t>| SUG123     | 2026-07-18 | 4 days 05:24:18.37581 | -48.5    |</t>
  </si>
  <si>
    <t>| SAL967     | 2026-07-16 | 6 days 05:24:18.37581 | 25       |</t>
  </si>
  <si>
    <t>| SYR208     | 2026-07-18 | 4 days 05:24:18.37581 | 100      |</t>
  </si>
  <si>
    <t>qty_in</t>
  </si>
  <si>
    <t>expiry_date</t>
  </si>
  <si>
    <t>qty</t>
  </si>
  <si>
    <t>SYR208</t>
  </si>
  <si>
    <t>COC245</t>
  </si>
  <si>
    <t>SAL967</t>
  </si>
  <si>
    <t>OUT</t>
  </si>
  <si>
    <t>IN</t>
  </si>
  <si>
    <t>TOTALE VOLUME IN</t>
  </si>
  <si>
    <t>TOTALE VOLUME UIT</t>
  </si>
  <si>
    <t xml:space="preserve">Verander al die </t>
  </si>
  <si>
    <t>pr_booking_out_all</t>
  </si>
  <si>
    <t>pr_booking_out_by_stock_code</t>
  </si>
  <si>
    <t>pr_booking_out_last_three_months</t>
  </si>
  <si>
    <t>Sit Unit Price by popup</t>
  </si>
  <si>
    <t>Hide Stock Item ID in popup</t>
  </si>
  <si>
    <t>Wys View knoppies altyd</t>
  </si>
  <si>
    <t>CM25615</t>
  </si>
  <si>
    <t>ACL18602</t>
  </si>
  <si>
    <t>SPAAR</t>
  </si>
  <si>
    <t>Spaargeld</t>
  </si>
  <si>
    <t>Gebruik</t>
  </si>
  <si>
    <t>Maande</t>
  </si>
  <si>
    <t>Siyanda</t>
  </si>
  <si>
    <t>CM25616</t>
  </si>
  <si>
    <t>ACL18603</t>
  </si>
  <si>
    <t>CM25617</t>
  </si>
  <si>
    <t>ACL18604</t>
  </si>
  <si>
    <r>
      <t>get_stock_to_sell_1</t>
    </r>
    <r>
      <rPr>
        <sz val="8"/>
        <color theme="1"/>
        <rFont val="Segoe UI"/>
        <family val="2"/>
      </rPr>
      <t> </t>
    </r>
  </si>
  <si>
    <t>Add-knoppie op orders-out</t>
  </si>
  <si>
    <r>
      <t>On Orders Out, when </t>
    </r>
    <r>
      <rPr>
        <sz val="9.9"/>
        <color theme="1"/>
        <rFont val="Consolas"/>
        <family val="3"/>
      </rPr>
      <t>editMode</t>
    </r>
    <r>
      <rPr>
        <sz val="8"/>
        <color theme="1"/>
        <rFont val="Segoe UI"/>
        <family val="2"/>
      </rPr>
      <t> is false, </t>
    </r>
    <r>
      <rPr>
        <sz val="8"/>
        <color theme="1"/>
        <rFont val="Segoe UI"/>
        <family val="2"/>
      </rPr>
      <t>Save</t>
    </r>
    <r>
      <rPr>
        <sz val="8"/>
        <color theme="1"/>
        <rFont val="Segoe UI"/>
        <family val="2"/>
      </rPr>
      <t> runs </t>
    </r>
    <r>
      <rPr>
        <sz val="9.9"/>
        <color theme="1"/>
        <rFont val="Consolas"/>
        <family val="3"/>
      </rPr>
      <t>handleAdd</t>
    </r>
    <r>
      <rPr>
        <sz val="8"/>
        <color theme="1"/>
        <rFont val="Segoe UI"/>
        <family val="2"/>
      </rPr>
      <t>, which calls </t>
    </r>
    <r>
      <rPr>
        <sz val="9.9"/>
        <color theme="1"/>
        <rFont val="Consolas"/>
        <family val="3"/>
      </rPr>
      <t>pi_order_out</t>
    </r>
  </si>
  <si>
    <t>pr_orders_out_by_customer</t>
  </si>
  <si>
    <t>Grid onder-aan orders-out</t>
  </si>
  <si>
    <r>
      <t>pr_order_booking_out</t>
    </r>
    <r>
      <rPr>
        <sz val="8"/>
        <color theme="1"/>
        <rFont val="Segoe UI"/>
        <family val="2"/>
      </rPr>
      <t> </t>
    </r>
  </si>
  <si>
    <t>Grid in Items seksie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</si>
</sst>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u/>
      <sz val="11"/>
      <color theme="1"/>
      <name val="Arial"/>
      <family val="2"/>
    </font>
    <font>
      <sz val="12"/>
      <color theme="1"/>
      <name val="Aptos"/>
      <family val="2"/>
    </font>
    <font>
      <sz val="12"/>
      <color rgb="FF444444"/>
      <name val="Aptos"/>
      <family val="2"/>
    </font>
    <font>
      <sz val="12"/>
      <color theme="1"/>
      <name val="Aptos"/>
      <family val="2"/>
    </font>
    <font>
      <b/>
      <sz val="12"/>
      <color rgb="FFFF0000"/>
      <name val="Aptos"/>
      <family val="2"/>
    </font>
    <font>
      <sz val="12"/>
      <color theme="1"/>
      <name val="Aptos Narrow"/>
      <family val="2"/>
      <scheme val="minor"/>
    </font>
    <font>
      <sz val="12"/>
      <color theme="1"/>
      <name val="Geist"/>
    </font>
    <font>
      <sz val="8"/>
      <color theme="1"/>
      <name val="Segoe UI"/>
      <family val="2"/>
    </font>
    <font>
      <sz val="9.9"/>
      <color theme="1"/>
      <name val="Consolas"/>
      <family val="3"/>
    </font>
    <font>
      <sz val="8"/>
      <color theme="1"/>
      <name val="Segoe UI"/>
      <family val="2"/>
    </font>
    <font>
      <sz val="11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50">
    <xf numFmtId="0" fontId="0" fillId="0" borderId="0" xfId="0"/>
    <xf numFmtId="17" fontId="0" fillId="0" borderId="0" xfId="0" applyNumberFormat="1"/>
    <xf numFmtId="3" fontId="0" fillId="0" borderId="0" xfId="0" applyNumberFormat="1"/>
    <xf numFmtId="0" fontId="0" fillId="0" borderId="1" xfId="0" applyBorder="1"/>
    <xf numFmtId="17" fontId="0" fillId="0" borderId="1" xfId="0" applyNumberFormat="1" applyBorder="1"/>
    <xf numFmtId="3" fontId="0" fillId="0" borderId="1" xfId="0" applyNumberFormat="1" applyBorder="1"/>
    <xf numFmtId="3" fontId="1" fillId="0" borderId="1" xfId="0" applyNumberFormat="1" applyFont="1" applyBorder="1"/>
    <xf numFmtId="3" fontId="2" fillId="0" borderId="1" xfId="0" applyNumberFormat="1" applyFont="1" applyBorder="1"/>
    <xf numFmtId="0" fontId="1" fillId="2" borderId="1" xfId="0" applyFont="1" applyFill="1" applyBorder="1"/>
    <xf numFmtId="164" fontId="0" fillId="0" borderId="0" xfId="0" applyNumberFormat="1"/>
    <xf numFmtId="0" fontId="0" fillId="0" borderId="0" xfId="0" applyAlignment="1">
      <alignment horizontal="left"/>
    </xf>
    <xf numFmtId="0" fontId="4" fillId="4" borderId="2" xfId="2" applyBorder="1"/>
    <xf numFmtId="3" fontId="4" fillId="4" borderId="1" xfId="2" applyNumberFormat="1" applyBorder="1"/>
    <xf numFmtId="0" fontId="4" fillId="4" borderId="1" xfId="2" applyBorder="1"/>
    <xf numFmtId="3" fontId="4" fillId="4" borderId="0" xfId="2" applyNumberFormat="1"/>
    <xf numFmtId="0" fontId="4" fillId="4" borderId="3" xfId="2" applyBorder="1"/>
    <xf numFmtId="3" fontId="4" fillId="4" borderId="3" xfId="2" applyNumberFormat="1" applyBorder="1"/>
    <xf numFmtId="164" fontId="0" fillId="0" borderId="1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1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3" fontId="1" fillId="0" borderId="0" xfId="0" applyNumberFormat="1" applyFont="1"/>
    <xf numFmtId="0" fontId="0" fillId="6" borderId="1" xfId="0" applyFill="1" applyBorder="1"/>
    <xf numFmtId="0" fontId="0" fillId="5" borderId="1" xfId="0" applyFill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  <xf numFmtId="15" fontId="0" fillId="0" borderId="0" xfId="0" applyNumberFormat="1"/>
    <xf numFmtId="0" fontId="0" fillId="0" borderId="1" xfId="0" applyBorder="1" applyAlignment="1">
      <alignment horizontal="center"/>
    </xf>
    <xf numFmtId="15" fontId="0" fillId="0" borderId="1" xfId="0" applyNumberFormat="1" applyBorder="1"/>
    <xf numFmtId="4" fontId="0" fillId="0" borderId="1" xfId="0" applyNumberFormat="1" applyBorder="1"/>
    <xf numFmtId="0" fontId="3" fillId="3" borderId="1" xfId="1" applyBorder="1"/>
    <xf numFmtId="0" fontId="10" fillId="0" borderId="0" xfId="0" applyFont="1"/>
    <xf numFmtId="0" fontId="11" fillId="0" borderId="0" xfId="0" applyFont="1"/>
    <xf numFmtId="4" fontId="0" fillId="0" borderId="0" xfId="0" applyNumberFormat="1"/>
    <xf numFmtId="4" fontId="1" fillId="0" borderId="5" xfId="0" applyNumberFormat="1" applyFont="1" applyBorder="1"/>
    <xf numFmtId="0" fontId="1" fillId="2" borderId="0" xfId="0" applyFont="1" applyFill="1"/>
    <xf numFmtId="4" fontId="0" fillId="0" borderId="2" xfId="0" applyNumberFormat="1" applyBorder="1"/>
    <xf numFmtId="0" fontId="0" fillId="0" borderId="2" xfId="0" applyBorder="1"/>
    <xf numFmtId="164" fontId="0" fillId="0" borderId="2" xfId="0" applyNumberForma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3" borderId="1" xfId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left"/>
    </xf>
    <xf numFmtId="0" fontId="15" fillId="0" borderId="0" xfId="0" applyFont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B43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D524-30CA-4A04-AFA7-51063EBE7AE3}">
  <dimension ref="A1:Y4255"/>
  <sheetViews>
    <sheetView topLeftCell="A21" workbookViewId="0">
      <selection activeCell="O28" sqref="O28"/>
    </sheetView>
  </sheetViews>
  <sheetFormatPr defaultRowHeight="14.4"/>
  <cols>
    <col min="6" max="7" width="9.88671875" bestFit="1" customWidth="1"/>
    <col min="8" max="8" width="10.88671875" bestFit="1" customWidth="1"/>
    <col min="9" max="9" width="9.88671875" bestFit="1" customWidth="1"/>
    <col min="21" max="21" width="9.44140625" customWidth="1"/>
    <col min="22" max="22" width="10.109375" bestFit="1" customWidth="1"/>
    <col min="23" max="23" width="15.77734375" customWidth="1"/>
  </cols>
  <sheetData>
    <row r="1" spans="1:25">
      <c r="A1" t="s">
        <v>0</v>
      </c>
      <c r="B1">
        <v>42000</v>
      </c>
      <c r="E1" s="3"/>
      <c r="F1" s="8" t="s">
        <v>2</v>
      </c>
      <c r="G1" s="8" t="s">
        <v>6</v>
      </c>
      <c r="H1" s="8" t="s">
        <v>1</v>
      </c>
      <c r="N1">
        <v>23000</v>
      </c>
    </row>
    <row r="2" spans="1:25">
      <c r="A2" t="s">
        <v>1</v>
      </c>
      <c r="B2">
        <v>17000</v>
      </c>
      <c r="E2" s="4">
        <v>45717</v>
      </c>
      <c r="F2" s="5">
        <v>23200</v>
      </c>
      <c r="G2" s="5">
        <v>41000</v>
      </c>
      <c r="H2" s="5">
        <v>17000</v>
      </c>
      <c r="I2" s="2"/>
      <c r="N2">
        <v>23000</v>
      </c>
      <c r="S2" t="s">
        <v>2</v>
      </c>
      <c r="T2" t="s">
        <v>6</v>
      </c>
      <c r="U2" t="s">
        <v>4</v>
      </c>
      <c r="V2" t="s">
        <v>7</v>
      </c>
      <c r="W2" t="s">
        <v>8</v>
      </c>
    </row>
    <row r="3" spans="1:25">
      <c r="A3" t="s">
        <v>2</v>
      </c>
      <c r="B3">
        <v>12000</v>
      </c>
      <c r="E3" s="4">
        <v>45748</v>
      </c>
      <c r="F3" s="5">
        <v>23200</v>
      </c>
      <c r="G3" s="5">
        <v>41000</v>
      </c>
      <c r="H3" s="5">
        <v>17000</v>
      </c>
      <c r="I3" s="2"/>
      <c r="N3">
        <v>23000</v>
      </c>
      <c r="P3">
        <v>23200</v>
      </c>
      <c r="R3" s="1">
        <v>45717</v>
      </c>
      <c r="S3">
        <v>23200</v>
      </c>
      <c r="T3">
        <v>42000</v>
      </c>
      <c r="U3">
        <v>2100</v>
      </c>
      <c r="V3">
        <v>17000</v>
      </c>
      <c r="W3">
        <v>35000</v>
      </c>
    </row>
    <row r="4" spans="1:25">
      <c r="A4" t="s">
        <v>3</v>
      </c>
      <c r="B4">
        <v>35000</v>
      </c>
      <c r="E4" s="4">
        <v>45778</v>
      </c>
      <c r="F4" s="5">
        <v>23200</v>
      </c>
      <c r="G4" s="5">
        <v>41000</v>
      </c>
      <c r="H4" s="5">
        <v>17000</v>
      </c>
      <c r="I4" s="2"/>
      <c r="N4">
        <v>23000</v>
      </c>
      <c r="P4">
        <v>23200</v>
      </c>
      <c r="R4" s="1">
        <v>45748</v>
      </c>
      <c r="S4">
        <v>23200</v>
      </c>
      <c r="T4">
        <v>42000</v>
      </c>
      <c r="U4">
        <v>2100</v>
      </c>
      <c r="V4">
        <v>17000</v>
      </c>
    </row>
    <row r="5" spans="1:25">
      <c r="A5" t="s">
        <v>4</v>
      </c>
      <c r="B5">
        <v>0</v>
      </c>
      <c r="E5" s="4">
        <v>45809</v>
      </c>
      <c r="F5" s="5">
        <v>23200</v>
      </c>
      <c r="G5" s="5">
        <v>41000</v>
      </c>
      <c r="H5" s="5">
        <v>17000</v>
      </c>
      <c r="I5" s="2"/>
      <c r="N5">
        <v>23000</v>
      </c>
      <c r="P5">
        <v>23200</v>
      </c>
      <c r="R5" s="1">
        <v>45778</v>
      </c>
      <c r="S5">
        <v>23200</v>
      </c>
      <c r="T5">
        <v>42000</v>
      </c>
      <c r="U5">
        <v>2100</v>
      </c>
      <c r="V5">
        <v>17000</v>
      </c>
    </row>
    <row r="6" spans="1:25">
      <c r="A6" t="s">
        <v>5</v>
      </c>
      <c r="B6">
        <v>3500</v>
      </c>
      <c r="E6" s="4">
        <v>45839</v>
      </c>
      <c r="F6" s="5">
        <v>23200</v>
      </c>
      <c r="G6" s="5">
        <v>41000</v>
      </c>
      <c r="H6" s="5">
        <v>17000</v>
      </c>
      <c r="I6" s="2"/>
      <c r="N6">
        <v>23000</v>
      </c>
      <c r="P6">
        <v>23200</v>
      </c>
      <c r="R6" s="1">
        <v>45809</v>
      </c>
      <c r="S6">
        <v>23200</v>
      </c>
      <c r="T6">
        <v>42000</v>
      </c>
      <c r="U6">
        <v>2100</v>
      </c>
      <c r="V6">
        <v>17000</v>
      </c>
    </row>
    <row r="7" spans="1:25">
      <c r="E7" s="4">
        <v>45870</v>
      </c>
      <c r="F7" s="5">
        <v>23200</v>
      </c>
      <c r="G7" s="5">
        <v>41000</v>
      </c>
      <c r="H7" s="5">
        <v>17000</v>
      </c>
      <c r="I7" s="2"/>
      <c r="N7">
        <v>23000</v>
      </c>
      <c r="P7">
        <v>23200</v>
      </c>
      <c r="R7" s="1">
        <v>45839</v>
      </c>
      <c r="S7">
        <v>23200</v>
      </c>
      <c r="T7">
        <v>42000</v>
      </c>
      <c r="U7">
        <v>2100</v>
      </c>
      <c r="V7">
        <v>17000</v>
      </c>
    </row>
    <row r="8" spans="1:25">
      <c r="B8">
        <f>SUM(B1:B7)</f>
        <v>109500</v>
      </c>
      <c r="C8">
        <f>12*B8</f>
        <v>1314000</v>
      </c>
      <c r="E8" s="4">
        <v>45901</v>
      </c>
      <c r="F8" s="5">
        <v>19250</v>
      </c>
      <c r="G8" s="5">
        <v>41000</v>
      </c>
      <c r="H8" s="5">
        <v>17000</v>
      </c>
      <c r="I8" s="2"/>
      <c r="N8">
        <v>23000</v>
      </c>
      <c r="P8">
        <v>23200</v>
      </c>
      <c r="R8" s="1">
        <v>45870</v>
      </c>
      <c r="S8">
        <v>23200</v>
      </c>
      <c r="T8">
        <v>42000</v>
      </c>
      <c r="U8">
        <v>2100</v>
      </c>
      <c r="V8">
        <v>17000</v>
      </c>
    </row>
    <row r="9" spans="1:25">
      <c r="E9" s="4">
        <v>45931</v>
      </c>
      <c r="F9" s="5">
        <v>19250</v>
      </c>
      <c r="G9" s="5">
        <v>41000</v>
      </c>
      <c r="H9" s="5">
        <v>17000</v>
      </c>
      <c r="I9" s="2"/>
      <c r="N9">
        <v>23000</v>
      </c>
      <c r="P9">
        <v>23200</v>
      </c>
      <c r="R9" s="1">
        <v>45901</v>
      </c>
      <c r="S9">
        <v>19250</v>
      </c>
      <c r="T9">
        <v>42000</v>
      </c>
      <c r="U9">
        <v>2100</v>
      </c>
      <c r="V9">
        <v>17000</v>
      </c>
    </row>
    <row r="10" spans="1:25">
      <c r="E10" s="4">
        <v>45962</v>
      </c>
      <c r="F10" s="5">
        <v>19250</v>
      </c>
      <c r="G10" s="5">
        <v>41000</v>
      </c>
      <c r="H10" s="5">
        <v>17000</v>
      </c>
      <c r="I10" s="2"/>
      <c r="N10">
        <v>23000</v>
      </c>
      <c r="P10">
        <v>23200</v>
      </c>
      <c r="R10" s="1">
        <v>45931</v>
      </c>
      <c r="S10">
        <v>19250</v>
      </c>
      <c r="T10">
        <v>42000</v>
      </c>
      <c r="U10">
        <v>2100</v>
      </c>
      <c r="V10">
        <v>17000</v>
      </c>
    </row>
    <row r="11" spans="1:25">
      <c r="E11" s="4">
        <v>45992</v>
      </c>
      <c r="F11" s="5">
        <v>19250</v>
      </c>
      <c r="G11" s="5">
        <v>41000</v>
      </c>
      <c r="H11" s="5">
        <v>17000</v>
      </c>
      <c r="I11" s="2"/>
      <c r="N11">
        <v>23000</v>
      </c>
      <c r="P11">
        <v>23200</v>
      </c>
      <c r="R11" s="1">
        <v>45962</v>
      </c>
      <c r="S11">
        <v>19250</v>
      </c>
      <c r="T11">
        <v>42000</v>
      </c>
      <c r="U11">
        <v>2100</v>
      </c>
      <c r="V11">
        <v>17000</v>
      </c>
    </row>
    <row r="12" spans="1:25">
      <c r="E12" s="4">
        <v>46023</v>
      </c>
      <c r="F12" s="5">
        <v>11000</v>
      </c>
      <c r="G12" s="5">
        <v>41000</v>
      </c>
      <c r="H12" s="5">
        <v>17000</v>
      </c>
      <c r="I12" s="2"/>
      <c r="N12">
        <v>23000</v>
      </c>
      <c r="P12">
        <v>23200</v>
      </c>
      <c r="R12" s="1">
        <v>45992</v>
      </c>
      <c r="S12">
        <v>19250</v>
      </c>
      <c r="T12">
        <v>42000</v>
      </c>
      <c r="U12">
        <v>2100</v>
      </c>
      <c r="V12">
        <v>17000</v>
      </c>
    </row>
    <row r="13" spans="1:25">
      <c r="E13" s="4">
        <v>46054</v>
      </c>
      <c r="F13" s="5">
        <v>11000</v>
      </c>
      <c r="G13" s="5">
        <v>41000</v>
      </c>
      <c r="H13" s="5">
        <v>17000</v>
      </c>
      <c r="I13" s="2"/>
      <c r="P13">
        <v>23200</v>
      </c>
      <c r="R13" s="1">
        <v>46023</v>
      </c>
      <c r="S13">
        <v>11000</v>
      </c>
      <c r="T13">
        <v>42000</v>
      </c>
      <c r="U13">
        <v>2100</v>
      </c>
      <c r="V13">
        <v>17000</v>
      </c>
    </row>
    <row r="14" spans="1:25">
      <c r="F14" s="2"/>
      <c r="G14" s="2"/>
      <c r="H14" s="2"/>
      <c r="I14" s="2"/>
      <c r="N14">
        <f>SUM(N1:N13)</f>
        <v>276000</v>
      </c>
      <c r="P14">
        <v>23200</v>
      </c>
      <c r="R14" s="1">
        <v>46054</v>
      </c>
      <c r="S14">
        <v>11000</v>
      </c>
      <c r="T14">
        <v>42000</v>
      </c>
      <c r="U14">
        <v>2100</v>
      </c>
      <c r="V14">
        <v>17000</v>
      </c>
    </row>
    <row r="15" spans="1:25" ht="18">
      <c r="F15" s="6">
        <f>SUM(F2:F14)</f>
        <v>238200</v>
      </c>
      <c r="G15" s="6">
        <f>SUM(G2:G14)</f>
        <v>492000</v>
      </c>
      <c r="H15" s="6">
        <f>SUM(H2:H14)</f>
        <v>204000</v>
      </c>
      <c r="I15" s="7">
        <f>SUM(F15:H15)</f>
        <v>934200</v>
      </c>
    </row>
    <row r="16" spans="1:25">
      <c r="P16">
        <f>SUM(P3:P15)</f>
        <v>278400</v>
      </c>
      <c r="S16">
        <f>SUM(S3:S15)</f>
        <v>238200</v>
      </c>
      <c r="T16">
        <f>SUM(T3:T15)</f>
        <v>504000</v>
      </c>
      <c r="Y16">
        <f>SUM(S16:X16)</f>
        <v>742200</v>
      </c>
    </row>
    <row r="19" spans="6:25">
      <c r="U19">
        <f>SUM(U3:U18)</f>
        <v>25200</v>
      </c>
      <c r="V19">
        <f>SUM(V3:V18)</f>
        <v>204000</v>
      </c>
      <c r="W19">
        <v>35000</v>
      </c>
      <c r="Y19">
        <f>SUM(U19:X19)</f>
        <v>264200</v>
      </c>
    </row>
    <row r="20" spans="6:25">
      <c r="F20" t="s">
        <v>9</v>
      </c>
      <c r="G20" t="s">
        <v>9</v>
      </c>
      <c r="H20" t="s">
        <v>10</v>
      </c>
    </row>
    <row r="21" spans="6:25">
      <c r="F21">
        <v>28</v>
      </c>
      <c r="G21">
        <v>1656</v>
      </c>
      <c r="H21" s="9">
        <v>39408</v>
      </c>
    </row>
    <row r="22" spans="6:25">
      <c r="F22">
        <v>33</v>
      </c>
      <c r="G22">
        <v>2144</v>
      </c>
      <c r="H22" s="9">
        <v>39408</v>
      </c>
    </row>
    <row r="23" spans="6:25">
      <c r="F23">
        <v>111</v>
      </c>
      <c r="G23">
        <v>2173</v>
      </c>
      <c r="H23" s="9">
        <v>39434</v>
      </c>
    </row>
    <row r="24" spans="6:25">
      <c r="F24">
        <v>194</v>
      </c>
      <c r="G24">
        <v>887</v>
      </c>
      <c r="H24" s="9">
        <v>39419</v>
      </c>
    </row>
    <row r="25" spans="6:25">
      <c r="F25">
        <v>373</v>
      </c>
      <c r="G25">
        <v>1039</v>
      </c>
      <c r="H25" s="9">
        <v>39426</v>
      </c>
    </row>
    <row r="26" spans="6:25">
      <c r="F26">
        <v>434</v>
      </c>
      <c r="G26">
        <v>82</v>
      </c>
      <c r="H26" s="9">
        <v>39429</v>
      </c>
    </row>
    <row r="27" spans="6:25">
      <c r="F27">
        <v>466</v>
      </c>
      <c r="G27">
        <v>2294</v>
      </c>
      <c r="H27" s="9">
        <v>39434</v>
      </c>
    </row>
    <row r="28" spans="6:25">
      <c r="F28">
        <v>532</v>
      </c>
      <c r="G28">
        <v>2125</v>
      </c>
      <c r="H28" s="9">
        <v>39456</v>
      </c>
    </row>
    <row r="29" spans="6:25">
      <c r="F29">
        <v>562</v>
      </c>
      <c r="G29">
        <v>2428</v>
      </c>
      <c r="H29" s="9">
        <v>39440</v>
      </c>
    </row>
    <row r="30" spans="6:25">
      <c r="F30">
        <v>604</v>
      </c>
      <c r="G30">
        <v>1478</v>
      </c>
      <c r="H30" s="9">
        <v>39441</v>
      </c>
    </row>
    <row r="31" spans="6:25">
      <c r="F31">
        <v>611</v>
      </c>
      <c r="G31">
        <v>2317</v>
      </c>
      <c r="H31" s="9">
        <v>39441</v>
      </c>
    </row>
    <row r="32" spans="6:25">
      <c r="F32">
        <v>630</v>
      </c>
      <c r="G32">
        <v>510</v>
      </c>
      <c r="H32" s="9">
        <v>39441</v>
      </c>
    </row>
    <row r="33" spans="6:8">
      <c r="F33">
        <v>670</v>
      </c>
      <c r="G33">
        <v>2339</v>
      </c>
      <c r="H33" s="9">
        <v>39443</v>
      </c>
    </row>
    <row r="34" spans="6:8">
      <c r="F34">
        <v>827</v>
      </c>
      <c r="G34">
        <v>2372</v>
      </c>
      <c r="H34" s="9">
        <v>39450</v>
      </c>
    </row>
    <row r="35" spans="6:8">
      <c r="F35">
        <v>875</v>
      </c>
      <c r="G35">
        <v>2379</v>
      </c>
      <c r="H35" s="9">
        <v>39455</v>
      </c>
    </row>
    <row r="36" spans="6:8">
      <c r="F36">
        <v>898</v>
      </c>
      <c r="G36">
        <v>1330</v>
      </c>
      <c r="H36" s="9">
        <v>39457</v>
      </c>
    </row>
    <row r="37" spans="6:8">
      <c r="F37">
        <v>964</v>
      </c>
      <c r="G37">
        <v>2402</v>
      </c>
      <c r="H37" s="9">
        <v>39458</v>
      </c>
    </row>
    <row r="38" spans="6:8">
      <c r="F38">
        <v>1045</v>
      </c>
      <c r="G38">
        <v>2369</v>
      </c>
      <c r="H38" s="9">
        <v>39466</v>
      </c>
    </row>
    <row r="39" spans="6:8">
      <c r="F39">
        <v>1047</v>
      </c>
      <c r="G39">
        <v>217</v>
      </c>
      <c r="H39" s="9">
        <v>39466</v>
      </c>
    </row>
    <row r="40" spans="6:8">
      <c r="F40">
        <v>1123</v>
      </c>
      <c r="G40">
        <v>2301</v>
      </c>
      <c r="H40" s="9">
        <v>39462</v>
      </c>
    </row>
    <row r="41" spans="6:8">
      <c r="F41">
        <v>1165</v>
      </c>
      <c r="G41">
        <v>754</v>
      </c>
      <c r="H41" s="9">
        <v>39469</v>
      </c>
    </row>
    <row r="42" spans="6:8">
      <c r="F42">
        <v>1170</v>
      </c>
      <c r="G42">
        <v>2177</v>
      </c>
      <c r="H42" s="9">
        <v>39469</v>
      </c>
    </row>
    <row r="43" spans="6:8">
      <c r="F43">
        <v>1184</v>
      </c>
      <c r="G43">
        <v>1325</v>
      </c>
      <c r="H43" s="9">
        <v>39469</v>
      </c>
    </row>
    <row r="44" spans="6:8">
      <c r="F44">
        <v>1213</v>
      </c>
      <c r="G44">
        <v>31</v>
      </c>
      <c r="H44" s="9">
        <v>39468</v>
      </c>
    </row>
    <row r="45" spans="6:8">
      <c r="F45">
        <v>1220</v>
      </c>
      <c r="G45">
        <v>213</v>
      </c>
      <c r="H45" s="9">
        <v>39468</v>
      </c>
    </row>
    <row r="46" spans="6:8">
      <c r="F46">
        <v>1266</v>
      </c>
      <c r="G46">
        <v>500</v>
      </c>
      <c r="H46" s="9">
        <v>39412</v>
      </c>
    </row>
    <row r="47" spans="6:8">
      <c r="F47">
        <v>1270</v>
      </c>
      <c r="G47">
        <v>2012</v>
      </c>
      <c r="H47" s="9">
        <v>39412</v>
      </c>
    </row>
    <row r="48" spans="6:8">
      <c r="F48">
        <v>1308</v>
      </c>
      <c r="G48">
        <v>2564</v>
      </c>
      <c r="H48" s="9">
        <v>39426</v>
      </c>
    </row>
    <row r="49" spans="6:8">
      <c r="F49">
        <v>1314</v>
      </c>
      <c r="G49">
        <v>1520</v>
      </c>
      <c r="H49" s="9">
        <v>39430</v>
      </c>
    </row>
    <row r="50" spans="6:8">
      <c r="F50">
        <v>1386</v>
      </c>
      <c r="G50">
        <v>2594</v>
      </c>
      <c r="H50" s="9">
        <v>39444</v>
      </c>
    </row>
    <row r="51" spans="6:8">
      <c r="F51">
        <v>1391</v>
      </c>
      <c r="G51">
        <v>2593</v>
      </c>
      <c r="H51" s="9">
        <v>39444</v>
      </c>
    </row>
    <row r="52" spans="6:8">
      <c r="F52">
        <v>1407</v>
      </c>
      <c r="G52">
        <v>2597</v>
      </c>
      <c r="H52" s="9">
        <v>39444</v>
      </c>
    </row>
    <row r="53" spans="6:8">
      <c r="F53">
        <v>1413</v>
      </c>
      <c r="G53">
        <v>2607</v>
      </c>
      <c r="H53" s="9">
        <v>39457</v>
      </c>
    </row>
    <row r="54" spans="6:8">
      <c r="F54">
        <v>1428</v>
      </c>
      <c r="G54">
        <v>2611</v>
      </c>
      <c r="H54" s="9">
        <v>39457</v>
      </c>
    </row>
    <row r="55" spans="6:8">
      <c r="F55">
        <v>1453</v>
      </c>
      <c r="G55">
        <v>2650</v>
      </c>
      <c r="H55" s="9">
        <v>39462</v>
      </c>
    </row>
    <row r="56" spans="6:8">
      <c r="F56">
        <v>1460</v>
      </c>
      <c r="G56">
        <v>1448</v>
      </c>
      <c r="H56" s="9">
        <v>39471</v>
      </c>
    </row>
    <row r="57" spans="6:8">
      <c r="F57">
        <v>1488</v>
      </c>
      <c r="G57">
        <v>2557</v>
      </c>
      <c r="H57" s="9">
        <v>39464</v>
      </c>
    </row>
    <row r="58" spans="6:8">
      <c r="F58">
        <v>1564</v>
      </c>
      <c r="G58">
        <v>1373</v>
      </c>
      <c r="H58" s="9">
        <v>39442</v>
      </c>
    </row>
    <row r="59" spans="6:8">
      <c r="F59">
        <v>1592</v>
      </c>
      <c r="G59">
        <v>2659</v>
      </c>
      <c r="H59" s="9">
        <v>39412</v>
      </c>
    </row>
    <row r="60" spans="6:8">
      <c r="F60">
        <v>1670</v>
      </c>
      <c r="G60">
        <v>2802</v>
      </c>
      <c r="H60" s="9">
        <v>39472</v>
      </c>
    </row>
    <row r="61" spans="6:8">
      <c r="F61">
        <v>1691</v>
      </c>
      <c r="G61">
        <v>2806</v>
      </c>
      <c r="H61" s="9">
        <v>39447</v>
      </c>
    </row>
    <row r="62" spans="6:8">
      <c r="F62">
        <v>1713</v>
      </c>
      <c r="G62">
        <v>268</v>
      </c>
      <c r="H62" s="9">
        <v>39412</v>
      </c>
    </row>
    <row r="63" spans="6:8">
      <c r="F63">
        <v>1743</v>
      </c>
      <c r="G63">
        <v>2661</v>
      </c>
      <c r="H63" s="9">
        <v>39447</v>
      </c>
    </row>
    <row r="64" spans="6:8">
      <c r="F64">
        <v>1760</v>
      </c>
      <c r="G64">
        <v>804</v>
      </c>
      <c r="H64" s="9">
        <v>39449</v>
      </c>
    </row>
    <row r="65" spans="6:8">
      <c r="F65">
        <v>1783</v>
      </c>
      <c r="G65">
        <v>2814</v>
      </c>
      <c r="H65" s="9">
        <v>39475</v>
      </c>
    </row>
    <row r="66" spans="6:8">
      <c r="F66">
        <v>1806</v>
      </c>
      <c r="G66">
        <v>2763</v>
      </c>
      <c r="H66" s="9">
        <v>39458</v>
      </c>
    </row>
    <row r="67" spans="6:8">
      <c r="F67">
        <v>1822</v>
      </c>
      <c r="G67">
        <v>2768</v>
      </c>
      <c r="H67" s="9">
        <v>39461</v>
      </c>
    </row>
    <row r="68" spans="6:8">
      <c r="F68">
        <v>1841</v>
      </c>
      <c r="G68">
        <v>2660</v>
      </c>
      <c r="H68" s="9">
        <v>39462</v>
      </c>
    </row>
    <row r="69" spans="6:8">
      <c r="F69">
        <v>1850</v>
      </c>
      <c r="G69">
        <v>1621</v>
      </c>
      <c r="H69" s="9">
        <v>39462</v>
      </c>
    </row>
    <row r="70" spans="6:8">
      <c r="F70">
        <v>1859</v>
      </c>
      <c r="G70">
        <v>963</v>
      </c>
      <c r="H70" s="9">
        <v>39463</v>
      </c>
    </row>
    <row r="71" spans="6:8">
      <c r="F71">
        <v>1864</v>
      </c>
      <c r="G71">
        <v>975</v>
      </c>
      <c r="H71" s="9">
        <v>39464</v>
      </c>
    </row>
    <row r="72" spans="6:8">
      <c r="F72">
        <v>1866</v>
      </c>
      <c r="G72">
        <v>2677</v>
      </c>
      <c r="H72" s="9">
        <v>39464</v>
      </c>
    </row>
    <row r="73" spans="6:8">
      <c r="F73">
        <v>1868</v>
      </c>
      <c r="G73">
        <v>2782</v>
      </c>
      <c r="H73" s="9">
        <v>39464</v>
      </c>
    </row>
    <row r="74" spans="6:8">
      <c r="F74">
        <v>1896</v>
      </c>
      <c r="G74">
        <v>2818</v>
      </c>
      <c r="H74" s="9">
        <v>39472</v>
      </c>
    </row>
    <row r="75" spans="6:8">
      <c r="F75">
        <v>1925</v>
      </c>
      <c r="G75">
        <v>966</v>
      </c>
      <c r="H75" s="9">
        <v>39476</v>
      </c>
    </row>
    <row r="76" spans="6:8">
      <c r="F76">
        <v>1953</v>
      </c>
      <c r="G76">
        <v>2827</v>
      </c>
      <c r="H76" s="9">
        <v>39420</v>
      </c>
    </row>
    <row r="77" spans="6:8">
      <c r="F77">
        <v>1954</v>
      </c>
      <c r="G77">
        <v>294</v>
      </c>
      <c r="H77" s="9">
        <v>39420</v>
      </c>
    </row>
    <row r="78" spans="6:8">
      <c r="F78">
        <v>2047</v>
      </c>
      <c r="G78">
        <v>2864</v>
      </c>
      <c r="H78" s="9">
        <v>39444</v>
      </c>
    </row>
    <row r="79" spans="6:8">
      <c r="F79">
        <v>2125</v>
      </c>
      <c r="G79">
        <v>2890</v>
      </c>
      <c r="H79" s="9">
        <v>39466</v>
      </c>
    </row>
    <row r="80" spans="6:8">
      <c r="F80">
        <v>2126</v>
      </c>
      <c r="G80">
        <v>123</v>
      </c>
      <c r="H80" s="9">
        <v>39466</v>
      </c>
    </row>
    <row r="81" spans="6:8">
      <c r="F81">
        <v>2169</v>
      </c>
      <c r="G81">
        <v>2850</v>
      </c>
      <c r="H81" s="9">
        <v>39471</v>
      </c>
    </row>
    <row r="82" spans="6:8">
      <c r="F82">
        <v>2199</v>
      </c>
      <c r="G82">
        <v>1821</v>
      </c>
      <c r="H82" s="9">
        <v>39477</v>
      </c>
    </row>
    <row r="83" spans="6:8">
      <c r="F83">
        <v>2291</v>
      </c>
      <c r="G83">
        <v>2940</v>
      </c>
      <c r="H83" s="9">
        <v>39477</v>
      </c>
    </row>
    <row r="84" spans="6:8">
      <c r="F84">
        <v>2296</v>
      </c>
      <c r="G84">
        <v>2972</v>
      </c>
      <c r="H84" s="9">
        <v>39477</v>
      </c>
    </row>
    <row r="85" spans="6:8">
      <c r="F85">
        <v>2311</v>
      </c>
      <c r="G85">
        <v>2979</v>
      </c>
      <c r="H85" s="9">
        <v>39441</v>
      </c>
    </row>
    <row r="86" spans="6:8">
      <c r="F86">
        <v>2313</v>
      </c>
      <c r="G86">
        <v>2990</v>
      </c>
      <c r="H86" s="9">
        <v>39441</v>
      </c>
    </row>
    <row r="87" spans="6:8">
      <c r="F87">
        <v>2315</v>
      </c>
      <c r="G87">
        <v>2981</v>
      </c>
      <c r="H87" s="9">
        <v>39458</v>
      </c>
    </row>
    <row r="88" spans="6:8">
      <c r="F88">
        <v>2316</v>
      </c>
      <c r="G88">
        <v>2982</v>
      </c>
      <c r="H88" s="9">
        <v>39458</v>
      </c>
    </row>
    <row r="89" spans="6:8">
      <c r="F89">
        <v>2317</v>
      </c>
      <c r="G89">
        <v>2983</v>
      </c>
      <c r="H89" s="9">
        <v>39458</v>
      </c>
    </row>
    <row r="90" spans="6:8">
      <c r="F90">
        <v>2318</v>
      </c>
      <c r="G90">
        <v>2984</v>
      </c>
      <c r="H90" s="9">
        <v>39458</v>
      </c>
    </row>
    <row r="91" spans="6:8">
      <c r="F91">
        <v>2319</v>
      </c>
      <c r="G91">
        <v>2985</v>
      </c>
      <c r="H91" s="9">
        <v>39458</v>
      </c>
    </row>
    <row r="92" spans="6:8">
      <c r="F92">
        <v>2321</v>
      </c>
      <c r="G92">
        <v>2986</v>
      </c>
      <c r="H92" s="9">
        <v>39458</v>
      </c>
    </row>
    <row r="93" spans="6:8">
      <c r="F93">
        <v>2324</v>
      </c>
      <c r="G93">
        <v>411</v>
      </c>
      <c r="H93" s="9">
        <v>39458</v>
      </c>
    </row>
    <row r="94" spans="6:8">
      <c r="F94">
        <v>2325</v>
      </c>
      <c r="G94">
        <v>2992</v>
      </c>
      <c r="H94" s="9">
        <v>39480</v>
      </c>
    </row>
    <row r="95" spans="6:8">
      <c r="F95">
        <v>2327</v>
      </c>
      <c r="G95">
        <v>2994</v>
      </c>
      <c r="H95" s="9">
        <v>39480</v>
      </c>
    </row>
    <row r="96" spans="6:8">
      <c r="F96">
        <v>2329</v>
      </c>
      <c r="G96">
        <v>2996</v>
      </c>
      <c r="H96" s="9">
        <v>39480</v>
      </c>
    </row>
    <row r="97" spans="6:8">
      <c r="F97">
        <v>2330</v>
      </c>
      <c r="G97">
        <v>2997</v>
      </c>
      <c r="H97" s="9">
        <v>39480</v>
      </c>
    </row>
    <row r="98" spans="6:8">
      <c r="F98">
        <v>2331</v>
      </c>
      <c r="G98">
        <v>2998</v>
      </c>
      <c r="H98" s="9">
        <v>39480</v>
      </c>
    </row>
    <row r="99" spans="6:8">
      <c r="F99">
        <v>2405</v>
      </c>
      <c r="G99">
        <v>2672</v>
      </c>
      <c r="H99" s="9">
        <v>39482</v>
      </c>
    </row>
    <row r="100" spans="6:8">
      <c r="F100">
        <v>2411</v>
      </c>
      <c r="G100">
        <v>3011</v>
      </c>
      <c r="H100" s="9">
        <v>39482</v>
      </c>
    </row>
    <row r="101" spans="6:8">
      <c r="F101">
        <v>2499</v>
      </c>
      <c r="G101">
        <v>1336</v>
      </c>
      <c r="H101" s="9">
        <v>39485</v>
      </c>
    </row>
    <row r="102" spans="6:8">
      <c r="F102">
        <v>2534</v>
      </c>
      <c r="G102">
        <v>560</v>
      </c>
      <c r="H102" s="9">
        <v>39486</v>
      </c>
    </row>
    <row r="103" spans="6:8">
      <c r="F103">
        <v>2546</v>
      </c>
      <c r="G103">
        <v>3058</v>
      </c>
      <c r="H103" s="9">
        <v>39489</v>
      </c>
    </row>
    <row r="104" spans="6:8">
      <c r="F104">
        <v>2599</v>
      </c>
      <c r="G104">
        <v>1890</v>
      </c>
      <c r="H104" s="9">
        <v>39489</v>
      </c>
    </row>
    <row r="105" spans="6:8">
      <c r="F105">
        <v>2649</v>
      </c>
      <c r="G105">
        <v>3089</v>
      </c>
      <c r="H105" s="9">
        <v>39489</v>
      </c>
    </row>
    <row r="106" spans="6:8">
      <c r="F106">
        <v>2674</v>
      </c>
      <c r="G106">
        <v>2077</v>
      </c>
      <c r="H106" s="9">
        <v>39490</v>
      </c>
    </row>
    <row r="107" spans="6:8">
      <c r="F107">
        <v>2677</v>
      </c>
      <c r="G107">
        <v>2576</v>
      </c>
      <c r="H107" s="9">
        <v>39490</v>
      </c>
    </row>
    <row r="108" spans="6:8">
      <c r="F108">
        <v>2692</v>
      </c>
      <c r="G108">
        <v>2666</v>
      </c>
      <c r="H108" s="9">
        <v>39490</v>
      </c>
    </row>
    <row r="109" spans="6:8">
      <c r="F109">
        <v>2745</v>
      </c>
      <c r="G109">
        <v>982</v>
      </c>
      <c r="H109" s="9">
        <v>39491</v>
      </c>
    </row>
    <row r="110" spans="6:8">
      <c r="F110">
        <v>2802</v>
      </c>
      <c r="G110">
        <v>820</v>
      </c>
      <c r="H110" s="9">
        <v>39492</v>
      </c>
    </row>
    <row r="111" spans="6:8">
      <c r="F111">
        <v>2874</v>
      </c>
      <c r="G111">
        <v>3363</v>
      </c>
      <c r="H111" s="9">
        <v>39493</v>
      </c>
    </row>
    <row r="112" spans="6:8">
      <c r="F112">
        <v>2952</v>
      </c>
      <c r="G112">
        <v>2665</v>
      </c>
      <c r="H112" s="9">
        <v>39493</v>
      </c>
    </row>
    <row r="113" spans="6:8">
      <c r="F113">
        <v>2962</v>
      </c>
      <c r="G113">
        <v>1608</v>
      </c>
      <c r="H113" s="9">
        <v>39496</v>
      </c>
    </row>
    <row r="114" spans="6:8">
      <c r="F114">
        <v>3011</v>
      </c>
      <c r="G114">
        <v>3391</v>
      </c>
      <c r="H114" s="9">
        <v>39497</v>
      </c>
    </row>
    <row r="115" spans="6:8">
      <c r="F115">
        <v>3014</v>
      </c>
      <c r="G115">
        <v>3393</v>
      </c>
      <c r="H115" s="9">
        <v>39497</v>
      </c>
    </row>
    <row r="116" spans="6:8">
      <c r="F116">
        <v>3016</v>
      </c>
      <c r="G116">
        <v>3395</v>
      </c>
      <c r="H116" s="9">
        <v>39497</v>
      </c>
    </row>
    <row r="117" spans="6:8">
      <c r="F117">
        <v>3019</v>
      </c>
      <c r="G117">
        <v>1797</v>
      </c>
      <c r="H117" s="9">
        <v>39423</v>
      </c>
    </row>
    <row r="118" spans="6:8">
      <c r="F118">
        <v>3021</v>
      </c>
      <c r="G118">
        <v>1799</v>
      </c>
      <c r="H118" s="9">
        <v>39423</v>
      </c>
    </row>
    <row r="119" spans="6:8">
      <c r="F119">
        <v>3024</v>
      </c>
      <c r="G119">
        <v>1802</v>
      </c>
      <c r="H119" s="9">
        <v>39423</v>
      </c>
    </row>
    <row r="120" spans="6:8">
      <c r="F120">
        <v>3071</v>
      </c>
      <c r="G120">
        <v>817</v>
      </c>
      <c r="H120" s="9">
        <v>39504</v>
      </c>
    </row>
    <row r="121" spans="6:8">
      <c r="F121">
        <v>3139</v>
      </c>
      <c r="G121">
        <v>3422</v>
      </c>
      <c r="H121" s="9">
        <v>39505</v>
      </c>
    </row>
    <row r="122" spans="6:8">
      <c r="F122">
        <v>3185</v>
      </c>
      <c r="G122">
        <v>1810</v>
      </c>
      <c r="H122" s="9">
        <v>39499</v>
      </c>
    </row>
    <row r="123" spans="6:8">
      <c r="F123">
        <v>3208</v>
      </c>
      <c r="G123">
        <v>230</v>
      </c>
      <c r="H123" s="9">
        <v>39504</v>
      </c>
    </row>
    <row r="124" spans="6:8">
      <c r="F124">
        <v>3213</v>
      </c>
      <c r="G124">
        <v>2141</v>
      </c>
      <c r="H124" s="9">
        <v>39506</v>
      </c>
    </row>
    <row r="125" spans="6:8">
      <c r="F125">
        <v>3223</v>
      </c>
      <c r="G125">
        <v>3426</v>
      </c>
      <c r="H125" s="9">
        <v>39506</v>
      </c>
    </row>
    <row r="126" spans="6:8">
      <c r="F126">
        <v>3244</v>
      </c>
      <c r="G126">
        <v>3430</v>
      </c>
      <c r="H126" s="9">
        <v>39509</v>
      </c>
    </row>
    <row r="127" spans="6:8">
      <c r="F127">
        <v>3249</v>
      </c>
      <c r="G127">
        <v>2505</v>
      </c>
      <c r="H127" s="9">
        <v>39509</v>
      </c>
    </row>
    <row r="128" spans="6:8">
      <c r="F128">
        <v>3316</v>
      </c>
      <c r="G128">
        <v>3439</v>
      </c>
      <c r="H128" s="9">
        <v>39475</v>
      </c>
    </row>
    <row r="129" spans="6:8">
      <c r="F129">
        <v>3317</v>
      </c>
      <c r="G129">
        <v>3440</v>
      </c>
      <c r="H129" s="9">
        <v>39475</v>
      </c>
    </row>
    <row r="130" spans="6:8">
      <c r="F130">
        <v>3320</v>
      </c>
      <c r="G130">
        <v>3443</v>
      </c>
      <c r="H130" s="9">
        <v>39475</v>
      </c>
    </row>
    <row r="131" spans="6:8">
      <c r="F131">
        <v>3335</v>
      </c>
      <c r="G131">
        <v>1637</v>
      </c>
      <c r="H131" s="9">
        <v>39509</v>
      </c>
    </row>
    <row r="132" spans="6:8">
      <c r="F132">
        <v>3359</v>
      </c>
      <c r="G132">
        <v>3485</v>
      </c>
      <c r="H132" s="9">
        <v>39511</v>
      </c>
    </row>
    <row r="133" spans="6:8">
      <c r="F133">
        <v>3463</v>
      </c>
      <c r="G133">
        <v>2563</v>
      </c>
      <c r="H133" s="9">
        <v>39516</v>
      </c>
    </row>
    <row r="134" spans="6:8">
      <c r="F134">
        <v>3490</v>
      </c>
      <c r="G134">
        <v>3762</v>
      </c>
      <c r="H134" s="9">
        <v>39516</v>
      </c>
    </row>
    <row r="135" spans="6:8">
      <c r="F135">
        <v>3504</v>
      </c>
      <c r="G135">
        <v>2729</v>
      </c>
      <c r="H135" s="9">
        <v>39513</v>
      </c>
    </row>
    <row r="136" spans="6:8">
      <c r="F136">
        <v>3526</v>
      </c>
      <c r="G136">
        <v>1428</v>
      </c>
      <c r="H136" s="9">
        <v>39516</v>
      </c>
    </row>
    <row r="137" spans="6:8">
      <c r="F137">
        <v>3539</v>
      </c>
      <c r="G137">
        <v>1145</v>
      </c>
      <c r="H137" s="9">
        <v>39516</v>
      </c>
    </row>
    <row r="138" spans="6:8">
      <c r="F138">
        <v>3633</v>
      </c>
      <c r="G138">
        <v>1800</v>
      </c>
      <c r="H138" s="9">
        <v>39517</v>
      </c>
    </row>
    <row r="139" spans="6:8">
      <c r="F139">
        <v>3635</v>
      </c>
      <c r="G139">
        <v>3784</v>
      </c>
      <c r="H139" s="9">
        <v>39517</v>
      </c>
    </row>
    <row r="140" spans="6:8">
      <c r="F140">
        <v>3700</v>
      </c>
      <c r="G140">
        <v>3796</v>
      </c>
      <c r="H140" s="9">
        <v>39518</v>
      </c>
    </row>
    <row r="141" spans="6:8">
      <c r="F141">
        <v>3723</v>
      </c>
      <c r="G141">
        <v>824</v>
      </c>
      <c r="H141" s="9">
        <v>39519</v>
      </c>
    </row>
    <row r="142" spans="6:8">
      <c r="F142">
        <v>3763</v>
      </c>
      <c r="G142">
        <v>2250</v>
      </c>
      <c r="H142" s="9">
        <v>39519</v>
      </c>
    </row>
    <row r="143" spans="6:8">
      <c r="F143">
        <v>3889</v>
      </c>
      <c r="G143">
        <v>266</v>
      </c>
      <c r="H143" s="9">
        <v>39524</v>
      </c>
    </row>
    <row r="144" spans="6:8">
      <c r="F144">
        <v>3949</v>
      </c>
      <c r="G144">
        <v>3842</v>
      </c>
      <c r="H144" s="9">
        <v>39527</v>
      </c>
    </row>
    <row r="145" spans="6:8">
      <c r="F145">
        <v>3994</v>
      </c>
      <c r="G145">
        <v>1083</v>
      </c>
      <c r="H145" s="9">
        <v>39526</v>
      </c>
    </row>
    <row r="146" spans="6:8">
      <c r="F146">
        <v>4080</v>
      </c>
      <c r="G146">
        <v>3863</v>
      </c>
      <c r="H146" s="9">
        <v>39530</v>
      </c>
    </row>
    <row r="147" spans="6:8">
      <c r="F147">
        <v>4082</v>
      </c>
      <c r="G147">
        <v>3864</v>
      </c>
      <c r="H147" s="9">
        <v>39531</v>
      </c>
    </row>
    <row r="148" spans="6:8">
      <c r="F148">
        <v>4084</v>
      </c>
      <c r="G148">
        <v>3866</v>
      </c>
      <c r="H148" s="9">
        <v>39531</v>
      </c>
    </row>
    <row r="149" spans="6:8">
      <c r="F149">
        <v>4172</v>
      </c>
      <c r="G149">
        <v>813</v>
      </c>
      <c r="H149" s="9">
        <v>39533</v>
      </c>
    </row>
    <row r="150" spans="6:8">
      <c r="F150">
        <v>4174</v>
      </c>
      <c r="G150">
        <v>2751</v>
      </c>
      <c r="H150" s="9">
        <v>39533</v>
      </c>
    </row>
    <row r="151" spans="6:8">
      <c r="F151">
        <v>4211</v>
      </c>
      <c r="G151">
        <v>2578</v>
      </c>
      <c r="H151" s="9">
        <v>39534</v>
      </c>
    </row>
    <row r="152" spans="6:8">
      <c r="F152">
        <v>4248</v>
      </c>
      <c r="G152">
        <v>1968</v>
      </c>
      <c r="H152" s="9">
        <v>39534</v>
      </c>
    </row>
    <row r="153" spans="6:8">
      <c r="F153">
        <v>4303</v>
      </c>
      <c r="G153">
        <v>283</v>
      </c>
      <c r="H153" s="9">
        <v>39538</v>
      </c>
    </row>
    <row r="154" spans="6:8">
      <c r="F154">
        <v>4311</v>
      </c>
      <c r="G154">
        <v>2561</v>
      </c>
      <c r="H154" s="9">
        <v>39538</v>
      </c>
    </row>
    <row r="155" spans="6:8">
      <c r="F155">
        <v>4409</v>
      </c>
      <c r="G155">
        <v>1862</v>
      </c>
      <c r="H155" s="9">
        <v>39541</v>
      </c>
    </row>
    <row r="156" spans="6:8">
      <c r="F156">
        <v>4484</v>
      </c>
      <c r="G156">
        <v>1061</v>
      </c>
      <c r="H156" s="9">
        <v>39545</v>
      </c>
    </row>
    <row r="157" spans="6:8">
      <c r="F157">
        <v>4525</v>
      </c>
      <c r="G157">
        <v>2091</v>
      </c>
      <c r="H157" s="9">
        <v>39545</v>
      </c>
    </row>
    <row r="158" spans="6:8">
      <c r="F158">
        <v>4605</v>
      </c>
      <c r="G158">
        <v>3570</v>
      </c>
      <c r="H158" s="9">
        <v>39548</v>
      </c>
    </row>
    <row r="159" spans="6:8">
      <c r="F159">
        <v>4606</v>
      </c>
      <c r="G159">
        <v>3949</v>
      </c>
      <c r="H159" s="9">
        <v>39548</v>
      </c>
    </row>
    <row r="160" spans="6:8">
      <c r="F160">
        <v>4607</v>
      </c>
      <c r="G160">
        <v>3950</v>
      </c>
      <c r="H160" s="9">
        <v>39548</v>
      </c>
    </row>
    <row r="161" spans="6:8">
      <c r="F161">
        <v>4608</v>
      </c>
      <c r="G161">
        <v>3952</v>
      </c>
      <c r="H161" s="9">
        <v>39533</v>
      </c>
    </row>
    <row r="162" spans="6:8">
      <c r="F162">
        <v>4620</v>
      </c>
      <c r="G162">
        <v>3956</v>
      </c>
      <c r="H162" s="9">
        <v>39538</v>
      </c>
    </row>
    <row r="163" spans="6:8">
      <c r="F163">
        <v>4623</v>
      </c>
      <c r="G163">
        <v>3962</v>
      </c>
      <c r="H163" s="9">
        <v>39538</v>
      </c>
    </row>
    <row r="164" spans="6:8">
      <c r="F164">
        <v>4625</v>
      </c>
      <c r="G164">
        <v>3964</v>
      </c>
      <c r="H164" s="9">
        <v>39538</v>
      </c>
    </row>
    <row r="165" spans="6:8">
      <c r="F165">
        <v>4629</v>
      </c>
      <c r="G165">
        <v>3967</v>
      </c>
      <c r="H165" s="9">
        <v>39538</v>
      </c>
    </row>
    <row r="166" spans="6:8">
      <c r="F166">
        <v>4632</v>
      </c>
      <c r="G166">
        <v>3972</v>
      </c>
      <c r="H166" s="9">
        <v>39669</v>
      </c>
    </row>
    <row r="167" spans="6:8">
      <c r="F167">
        <v>4633</v>
      </c>
      <c r="G167">
        <v>3938</v>
      </c>
      <c r="H167" s="9">
        <v>39548</v>
      </c>
    </row>
    <row r="168" spans="6:8">
      <c r="F168">
        <v>4634</v>
      </c>
      <c r="G168">
        <v>3973</v>
      </c>
      <c r="H168" s="9">
        <v>39548</v>
      </c>
    </row>
    <row r="169" spans="6:8">
      <c r="F169">
        <v>4635</v>
      </c>
      <c r="G169">
        <v>3974</v>
      </c>
      <c r="H169" s="9">
        <v>39548</v>
      </c>
    </row>
    <row r="170" spans="6:8">
      <c r="F170">
        <v>4636</v>
      </c>
      <c r="G170">
        <v>3975</v>
      </c>
      <c r="H170" s="9">
        <v>39548</v>
      </c>
    </row>
    <row r="171" spans="6:8">
      <c r="F171">
        <v>4637</v>
      </c>
      <c r="G171">
        <v>3976</v>
      </c>
      <c r="H171" s="9">
        <v>39548</v>
      </c>
    </row>
    <row r="172" spans="6:8">
      <c r="F172">
        <v>4638</v>
      </c>
      <c r="G172">
        <v>3977</v>
      </c>
      <c r="H172" s="9">
        <v>39548</v>
      </c>
    </row>
    <row r="173" spans="6:8">
      <c r="F173">
        <v>4647</v>
      </c>
      <c r="G173">
        <v>3979</v>
      </c>
      <c r="H173" s="9">
        <v>39547</v>
      </c>
    </row>
    <row r="174" spans="6:8">
      <c r="F174">
        <v>4648</v>
      </c>
      <c r="G174">
        <v>3985</v>
      </c>
      <c r="H174" s="9">
        <v>39547</v>
      </c>
    </row>
    <row r="175" spans="6:8">
      <c r="F175">
        <v>4649</v>
      </c>
      <c r="G175">
        <v>3983</v>
      </c>
      <c r="H175" s="9">
        <v>39547</v>
      </c>
    </row>
    <row r="176" spans="6:8">
      <c r="F176">
        <v>4650</v>
      </c>
      <c r="G176">
        <v>3984</v>
      </c>
      <c r="H176" s="9">
        <v>39547</v>
      </c>
    </row>
    <row r="177" spans="6:8">
      <c r="F177">
        <v>4651</v>
      </c>
      <c r="G177">
        <v>3959</v>
      </c>
      <c r="H177" s="9">
        <v>39547</v>
      </c>
    </row>
    <row r="178" spans="6:8">
      <c r="F178">
        <v>4654</v>
      </c>
      <c r="G178">
        <v>3987</v>
      </c>
      <c r="H178" s="9">
        <v>39547</v>
      </c>
    </row>
    <row r="179" spans="6:8">
      <c r="F179">
        <v>4656</v>
      </c>
      <c r="G179">
        <v>3989</v>
      </c>
      <c r="H179" s="9">
        <v>39546</v>
      </c>
    </row>
    <row r="180" spans="6:8">
      <c r="F180">
        <v>4659</v>
      </c>
      <c r="G180">
        <v>3968</v>
      </c>
      <c r="H180" s="9">
        <v>39539</v>
      </c>
    </row>
    <row r="181" spans="6:8">
      <c r="F181">
        <v>4673</v>
      </c>
      <c r="G181">
        <v>3992</v>
      </c>
      <c r="H181" s="9">
        <v>39548</v>
      </c>
    </row>
    <row r="182" spans="6:8">
      <c r="F182">
        <v>4679</v>
      </c>
      <c r="G182">
        <v>3528</v>
      </c>
      <c r="H182" s="9">
        <v>39544</v>
      </c>
    </row>
    <row r="183" spans="6:8">
      <c r="F183">
        <v>4724</v>
      </c>
      <c r="G183">
        <v>1597</v>
      </c>
      <c r="H183" s="9">
        <v>39548</v>
      </c>
    </row>
    <row r="184" spans="6:8">
      <c r="F184">
        <v>4734</v>
      </c>
      <c r="G184">
        <v>4019</v>
      </c>
      <c r="H184" s="9">
        <v>39548</v>
      </c>
    </row>
    <row r="185" spans="6:8">
      <c r="F185">
        <v>4748</v>
      </c>
      <c r="G185">
        <v>3355</v>
      </c>
      <c r="H185" s="9">
        <v>39551</v>
      </c>
    </row>
    <row r="186" spans="6:8">
      <c r="F186">
        <v>4777</v>
      </c>
      <c r="G186">
        <v>1022</v>
      </c>
      <c r="H186" s="9">
        <v>39547</v>
      </c>
    </row>
    <row r="187" spans="6:8">
      <c r="F187">
        <v>4828</v>
      </c>
      <c r="G187">
        <v>2021</v>
      </c>
      <c r="H187" s="9">
        <v>39552</v>
      </c>
    </row>
    <row r="188" spans="6:8">
      <c r="F188">
        <v>4830</v>
      </c>
      <c r="G188">
        <v>4032</v>
      </c>
      <c r="H188" s="9">
        <v>39552</v>
      </c>
    </row>
    <row r="189" spans="6:8">
      <c r="F189">
        <v>4841</v>
      </c>
      <c r="G189">
        <v>2569</v>
      </c>
      <c r="H189" s="9">
        <v>39552</v>
      </c>
    </row>
    <row r="190" spans="6:8">
      <c r="F190">
        <v>4842</v>
      </c>
      <c r="G190">
        <v>4034</v>
      </c>
      <c r="H190" s="9">
        <v>39552</v>
      </c>
    </row>
    <row r="191" spans="6:8">
      <c r="F191">
        <v>4847</v>
      </c>
      <c r="G191">
        <v>4036</v>
      </c>
      <c r="H191" s="9">
        <v>39552</v>
      </c>
    </row>
    <row r="192" spans="6:8">
      <c r="F192">
        <v>4855</v>
      </c>
      <c r="G192">
        <v>4041</v>
      </c>
      <c r="H192" s="9">
        <v>39552</v>
      </c>
    </row>
    <row r="193" spans="6:8">
      <c r="F193">
        <v>4856</v>
      </c>
      <c r="G193">
        <v>4042</v>
      </c>
      <c r="H193" s="9">
        <v>39552</v>
      </c>
    </row>
    <row r="194" spans="6:8">
      <c r="F194">
        <v>4889</v>
      </c>
      <c r="G194">
        <v>2329</v>
      </c>
      <c r="H194" s="9">
        <v>39552</v>
      </c>
    </row>
    <row r="195" spans="6:8">
      <c r="F195">
        <v>4906</v>
      </c>
      <c r="G195">
        <v>4048</v>
      </c>
      <c r="H195" s="9">
        <v>39553</v>
      </c>
    </row>
    <row r="196" spans="6:8">
      <c r="F196">
        <v>4917</v>
      </c>
      <c r="G196">
        <v>1896</v>
      </c>
      <c r="H196" s="9">
        <v>39553</v>
      </c>
    </row>
    <row r="197" spans="6:8">
      <c r="F197">
        <v>4941</v>
      </c>
      <c r="G197">
        <v>4058</v>
      </c>
      <c r="H197" s="9">
        <v>39553</v>
      </c>
    </row>
    <row r="198" spans="6:8">
      <c r="F198">
        <v>4943</v>
      </c>
      <c r="G198">
        <v>4060</v>
      </c>
      <c r="H198" s="9">
        <v>39553</v>
      </c>
    </row>
    <row r="199" spans="6:8">
      <c r="F199">
        <v>4944</v>
      </c>
      <c r="G199">
        <v>4077</v>
      </c>
      <c r="H199" s="9">
        <v>39553</v>
      </c>
    </row>
    <row r="200" spans="6:8">
      <c r="F200">
        <v>4991</v>
      </c>
      <c r="G200">
        <v>1166</v>
      </c>
      <c r="H200" s="9">
        <v>39555</v>
      </c>
    </row>
    <row r="201" spans="6:8">
      <c r="F201">
        <v>5005</v>
      </c>
      <c r="G201">
        <v>4088</v>
      </c>
      <c r="H201" s="9">
        <v>39555</v>
      </c>
    </row>
    <row r="202" spans="6:8">
      <c r="F202">
        <v>5006</v>
      </c>
      <c r="G202">
        <v>4089</v>
      </c>
      <c r="H202" s="9">
        <v>39555</v>
      </c>
    </row>
    <row r="203" spans="6:8">
      <c r="F203">
        <v>5007</v>
      </c>
      <c r="G203">
        <v>4090</v>
      </c>
      <c r="H203" s="9">
        <v>39555</v>
      </c>
    </row>
    <row r="204" spans="6:8">
      <c r="F204">
        <v>5009</v>
      </c>
      <c r="G204">
        <v>4092</v>
      </c>
      <c r="H204" s="9">
        <v>39555</v>
      </c>
    </row>
    <row r="205" spans="6:8">
      <c r="F205">
        <v>5012</v>
      </c>
      <c r="G205">
        <v>4094</v>
      </c>
      <c r="H205" s="9">
        <v>39555</v>
      </c>
    </row>
    <row r="206" spans="6:8">
      <c r="F206">
        <v>5013</v>
      </c>
      <c r="G206">
        <v>4095</v>
      </c>
      <c r="H206" s="9">
        <v>39555</v>
      </c>
    </row>
    <row r="207" spans="6:8">
      <c r="F207">
        <v>5014</v>
      </c>
      <c r="G207">
        <v>4096</v>
      </c>
      <c r="H207" s="9">
        <v>39555</v>
      </c>
    </row>
    <row r="208" spans="6:8">
      <c r="F208">
        <v>5025</v>
      </c>
      <c r="G208">
        <v>2918</v>
      </c>
      <c r="H208" s="9">
        <v>39555</v>
      </c>
    </row>
    <row r="209" spans="6:8">
      <c r="F209">
        <v>5026</v>
      </c>
      <c r="G209">
        <v>1567</v>
      </c>
      <c r="H209" s="9">
        <v>39555</v>
      </c>
    </row>
    <row r="210" spans="6:8">
      <c r="F210">
        <v>5080</v>
      </c>
      <c r="G210">
        <v>577</v>
      </c>
      <c r="H210" s="9">
        <v>39555</v>
      </c>
    </row>
    <row r="211" spans="6:8">
      <c r="F211">
        <v>5100</v>
      </c>
      <c r="G211">
        <v>4104</v>
      </c>
      <c r="H211" s="9">
        <v>39558</v>
      </c>
    </row>
    <row r="212" spans="6:8">
      <c r="F212">
        <v>5101</v>
      </c>
      <c r="G212">
        <v>4105</v>
      </c>
      <c r="H212" s="9">
        <v>39558</v>
      </c>
    </row>
    <row r="213" spans="6:8">
      <c r="F213">
        <v>5102</v>
      </c>
      <c r="G213">
        <v>4106</v>
      </c>
      <c r="H213" s="9">
        <v>39558</v>
      </c>
    </row>
    <row r="214" spans="6:8">
      <c r="F214">
        <v>5110</v>
      </c>
      <c r="G214">
        <v>4115</v>
      </c>
      <c r="H214" s="9">
        <v>39558</v>
      </c>
    </row>
    <row r="215" spans="6:8">
      <c r="F215">
        <v>5115</v>
      </c>
      <c r="G215">
        <v>4120</v>
      </c>
      <c r="H215" s="9">
        <v>39559</v>
      </c>
    </row>
    <row r="216" spans="6:8">
      <c r="F216">
        <v>5118</v>
      </c>
      <c r="G216">
        <v>4121</v>
      </c>
      <c r="H216" s="9">
        <v>39559</v>
      </c>
    </row>
    <row r="217" spans="6:8">
      <c r="F217">
        <v>5120</v>
      </c>
      <c r="G217">
        <v>4125</v>
      </c>
      <c r="H217" s="9">
        <v>39559</v>
      </c>
    </row>
    <row r="218" spans="6:8">
      <c r="F218">
        <v>5121</v>
      </c>
      <c r="G218">
        <v>4124</v>
      </c>
      <c r="H218" s="9">
        <v>39559</v>
      </c>
    </row>
    <row r="219" spans="6:8">
      <c r="F219">
        <v>5124</v>
      </c>
      <c r="G219">
        <v>4128</v>
      </c>
      <c r="H219" s="9">
        <v>39559</v>
      </c>
    </row>
    <row r="220" spans="6:8">
      <c r="F220">
        <v>5143</v>
      </c>
      <c r="G220">
        <v>2547</v>
      </c>
      <c r="H220" s="9">
        <v>39559</v>
      </c>
    </row>
    <row r="221" spans="6:8">
      <c r="F221">
        <v>5159</v>
      </c>
      <c r="G221">
        <v>296</v>
      </c>
      <c r="H221" s="9">
        <v>39559</v>
      </c>
    </row>
    <row r="222" spans="6:8">
      <c r="F222">
        <v>5168</v>
      </c>
      <c r="G222">
        <v>1910</v>
      </c>
      <c r="H222" s="9">
        <v>39558</v>
      </c>
    </row>
    <row r="223" spans="6:8">
      <c r="F223">
        <v>5180</v>
      </c>
      <c r="G223">
        <v>2309</v>
      </c>
      <c r="H223" s="9">
        <v>39558</v>
      </c>
    </row>
    <row r="224" spans="6:8">
      <c r="F224">
        <v>5186</v>
      </c>
      <c r="G224">
        <v>523</v>
      </c>
      <c r="H224" s="9">
        <v>39558</v>
      </c>
    </row>
    <row r="225" spans="6:8">
      <c r="F225">
        <v>5198</v>
      </c>
      <c r="G225">
        <v>756</v>
      </c>
      <c r="H225" s="9">
        <v>39558</v>
      </c>
    </row>
    <row r="226" spans="6:8">
      <c r="F226">
        <v>5211</v>
      </c>
      <c r="G226">
        <v>1966</v>
      </c>
      <c r="H226" s="9">
        <v>39559</v>
      </c>
    </row>
    <row r="227" spans="6:8">
      <c r="F227">
        <v>5216</v>
      </c>
      <c r="G227">
        <v>4107</v>
      </c>
      <c r="H227" s="9">
        <v>39560</v>
      </c>
    </row>
    <row r="228" spans="6:8">
      <c r="F228">
        <v>5217</v>
      </c>
      <c r="G228">
        <v>4139</v>
      </c>
      <c r="H228" s="9">
        <v>39560</v>
      </c>
    </row>
    <row r="229" spans="6:8">
      <c r="F229">
        <v>5218</v>
      </c>
      <c r="G229">
        <v>4140</v>
      </c>
      <c r="H229" s="9">
        <v>39560</v>
      </c>
    </row>
    <row r="230" spans="6:8">
      <c r="F230">
        <v>5219</v>
      </c>
      <c r="G230">
        <v>4141</v>
      </c>
      <c r="H230" s="9">
        <v>39560</v>
      </c>
    </row>
    <row r="231" spans="6:8">
      <c r="F231">
        <v>5229</v>
      </c>
      <c r="G231">
        <v>3207</v>
      </c>
      <c r="H231" s="9">
        <v>39560</v>
      </c>
    </row>
    <row r="232" spans="6:8">
      <c r="F232">
        <v>5232</v>
      </c>
      <c r="G232">
        <v>4149</v>
      </c>
      <c r="H232" s="9">
        <v>39560</v>
      </c>
    </row>
    <row r="233" spans="6:8">
      <c r="F233">
        <v>5233</v>
      </c>
      <c r="G233">
        <v>4150</v>
      </c>
      <c r="H233" s="9">
        <v>39560</v>
      </c>
    </row>
    <row r="234" spans="6:8">
      <c r="F234">
        <v>5235</v>
      </c>
      <c r="G234">
        <v>4152</v>
      </c>
      <c r="H234" s="9">
        <v>39560</v>
      </c>
    </row>
    <row r="235" spans="6:8">
      <c r="F235">
        <v>5241</v>
      </c>
      <c r="G235">
        <v>4157</v>
      </c>
      <c r="H235" s="9">
        <v>39560</v>
      </c>
    </row>
    <row r="236" spans="6:8">
      <c r="F236">
        <v>5247</v>
      </c>
      <c r="G236">
        <v>3390</v>
      </c>
      <c r="H236" s="9">
        <v>39560</v>
      </c>
    </row>
    <row r="237" spans="6:8">
      <c r="F237">
        <v>5264</v>
      </c>
      <c r="G237">
        <v>4163</v>
      </c>
      <c r="H237" s="9">
        <v>39561</v>
      </c>
    </row>
    <row r="238" spans="6:8">
      <c r="F238">
        <v>5269</v>
      </c>
      <c r="G238">
        <v>4059</v>
      </c>
      <c r="H238" s="9">
        <v>39561</v>
      </c>
    </row>
    <row r="239" spans="6:8">
      <c r="F239">
        <v>5286</v>
      </c>
      <c r="G239">
        <v>2769</v>
      </c>
      <c r="H239" s="9">
        <v>39561</v>
      </c>
    </row>
    <row r="240" spans="6:8">
      <c r="F240">
        <v>5290</v>
      </c>
      <c r="G240">
        <v>1351</v>
      </c>
      <c r="H240" s="9">
        <v>39561</v>
      </c>
    </row>
    <row r="241" spans="6:8">
      <c r="F241">
        <v>5312</v>
      </c>
      <c r="G241">
        <v>4177</v>
      </c>
      <c r="H241" s="9">
        <v>39562</v>
      </c>
    </row>
    <row r="242" spans="6:8">
      <c r="F242">
        <v>5315</v>
      </c>
      <c r="G242">
        <v>4179</v>
      </c>
      <c r="H242" s="9">
        <v>39562</v>
      </c>
    </row>
    <row r="243" spans="6:8">
      <c r="F243">
        <v>5317</v>
      </c>
      <c r="G243">
        <v>3926</v>
      </c>
      <c r="H243" s="9">
        <v>39562</v>
      </c>
    </row>
    <row r="244" spans="6:8">
      <c r="F244">
        <v>5318</v>
      </c>
      <c r="G244">
        <v>4180</v>
      </c>
      <c r="H244" s="9">
        <v>39562</v>
      </c>
    </row>
    <row r="245" spans="6:8">
      <c r="F245">
        <v>5320</v>
      </c>
      <c r="G245">
        <v>4182</v>
      </c>
      <c r="H245" s="9">
        <v>39562</v>
      </c>
    </row>
    <row r="246" spans="6:8">
      <c r="F246">
        <v>5321</v>
      </c>
      <c r="G246">
        <v>4183</v>
      </c>
      <c r="H246" s="9">
        <v>39562</v>
      </c>
    </row>
    <row r="247" spans="6:8">
      <c r="F247">
        <v>5330</v>
      </c>
      <c r="G247">
        <v>4052</v>
      </c>
      <c r="H247" s="9">
        <v>39562</v>
      </c>
    </row>
    <row r="248" spans="6:8">
      <c r="F248">
        <v>5368</v>
      </c>
      <c r="G248">
        <v>4191</v>
      </c>
      <c r="H248" s="9">
        <v>39562</v>
      </c>
    </row>
    <row r="249" spans="6:8">
      <c r="F249">
        <v>5370</v>
      </c>
      <c r="G249">
        <v>3830</v>
      </c>
      <c r="H249" s="9">
        <v>39562</v>
      </c>
    </row>
    <row r="250" spans="6:8">
      <c r="F250">
        <v>5411</v>
      </c>
      <c r="G250">
        <v>4206</v>
      </c>
      <c r="H250" s="9">
        <v>39567</v>
      </c>
    </row>
    <row r="251" spans="6:8">
      <c r="F251">
        <v>5414</v>
      </c>
      <c r="G251">
        <v>4000</v>
      </c>
      <c r="H251" s="9">
        <v>39567</v>
      </c>
    </row>
    <row r="252" spans="6:8">
      <c r="F252">
        <v>5415</v>
      </c>
      <c r="G252">
        <v>4207</v>
      </c>
      <c r="H252" s="9">
        <v>39567</v>
      </c>
    </row>
    <row r="253" spans="6:8">
      <c r="F253">
        <v>5416</v>
      </c>
      <c r="G253">
        <v>4208</v>
      </c>
      <c r="H253" s="9">
        <v>39567</v>
      </c>
    </row>
    <row r="254" spans="6:8">
      <c r="F254">
        <v>5421</v>
      </c>
      <c r="G254">
        <v>4211</v>
      </c>
      <c r="H254" s="9">
        <v>39566</v>
      </c>
    </row>
    <row r="255" spans="6:8">
      <c r="F255">
        <v>5423</v>
      </c>
      <c r="G255">
        <v>4213</v>
      </c>
      <c r="H255" s="9">
        <v>39566</v>
      </c>
    </row>
    <row r="256" spans="6:8">
      <c r="F256">
        <v>5427</v>
      </c>
      <c r="G256">
        <v>4215</v>
      </c>
      <c r="H256" s="9">
        <v>39566</v>
      </c>
    </row>
    <row r="257" spans="6:8">
      <c r="F257">
        <v>5428</v>
      </c>
      <c r="G257">
        <v>4216</v>
      </c>
      <c r="H257" s="9">
        <v>39566</v>
      </c>
    </row>
    <row r="258" spans="6:8">
      <c r="F258">
        <v>5433</v>
      </c>
      <c r="G258">
        <v>3615</v>
      </c>
      <c r="H258" s="9">
        <v>39566</v>
      </c>
    </row>
    <row r="259" spans="6:8">
      <c r="F259">
        <v>5440</v>
      </c>
      <c r="G259">
        <v>4220</v>
      </c>
      <c r="H259" s="9">
        <v>39566</v>
      </c>
    </row>
    <row r="260" spans="6:8">
      <c r="F260">
        <v>5443</v>
      </c>
      <c r="G260">
        <v>3162</v>
      </c>
      <c r="H260" s="9">
        <v>39566</v>
      </c>
    </row>
    <row r="261" spans="6:8">
      <c r="F261">
        <v>5475</v>
      </c>
      <c r="G261">
        <v>1175</v>
      </c>
      <c r="H261" s="9">
        <v>39562</v>
      </c>
    </row>
    <row r="262" spans="6:8">
      <c r="F262">
        <v>5518</v>
      </c>
      <c r="G262">
        <v>2118</v>
      </c>
      <c r="H262" s="9">
        <v>39566</v>
      </c>
    </row>
    <row r="263" spans="6:8">
      <c r="F263">
        <v>5532</v>
      </c>
      <c r="G263">
        <v>241</v>
      </c>
      <c r="H263" s="9">
        <v>39565</v>
      </c>
    </row>
    <row r="264" spans="6:8">
      <c r="F264">
        <v>5533</v>
      </c>
      <c r="G264">
        <v>4228</v>
      </c>
      <c r="H264" s="9">
        <v>39566</v>
      </c>
    </row>
    <row r="265" spans="6:8">
      <c r="F265">
        <v>5539</v>
      </c>
      <c r="G265">
        <v>4229</v>
      </c>
      <c r="H265" s="9">
        <v>39566</v>
      </c>
    </row>
    <row r="266" spans="6:8">
      <c r="F266">
        <v>5570</v>
      </c>
      <c r="G266">
        <v>2538</v>
      </c>
      <c r="H266" s="9">
        <v>39569</v>
      </c>
    </row>
    <row r="267" spans="6:8">
      <c r="F267">
        <v>5618</v>
      </c>
      <c r="G267">
        <v>760</v>
      </c>
      <c r="H267" s="9">
        <v>39567</v>
      </c>
    </row>
    <row r="268" spans="6:8">
      <c r="F268">
        <v>5620</v>
      </c>
      <c r="G268">
        <v>4236</v>
      </c>
      <c r="H268" s="9">
        <v>39568</v>
      </c>
    </row>
    <row r="269" spans="6:8">
      <c r="F269">
        <v>5624</v>
      </c>
      <c r="G269">
        <v>4239</v>
      </c>
      <c r="H269" s="9">
        <v>39568</v>
      </c>
    </row>
    <row r="270" spans="6:8">
      <c r="F270">
        <v>5625</v>
      </c>
      <c r="G270">
        <v>4240</v>
      </c>
      <c r="H270" s="9">
        <v>39569</v>
      </c>
    </row>
    <row r="271" spans="6:8">
      <c r="F271">
        <v>5626</v>
      </c>
      <c r="G271">
        <v>4241</v>
      </c>
      <c r="H271" s="9">
        <v>39569</v>
      </c>
    </row>
    <row r="272" spans="6:8">
      <c r="F272">
        <v>5628</v>
      </c>
      <c r="G272">
        <v>4243</v>
      </c>
      <c r="H272" s="9">
        <v>39569</v>
      </c>
    </row>
    <row r="273" spans="6:8">
      <c r="F273">
        <v>5642</v>
      </c>
      <c r="G273">
        <v>2689</v>
      </c>
      <c r="H273" s="9">
        <v>39568</v>
      </c>
    </row>
    <row r="274" spans="6:8">
      <c r="F274">
        <v>5645</v>
      </c>
      <c r="G274">
        <v>1137</v>
      </c>
      <c r="H274" s="9">
        <v>39568</v>
      </c>
    </row>
    <row r="275" spans="6:8">
      <c r="F275">
        <v>5652</v>
      </c>
      <c r="G275">
        <v>4248</v>
      </c>
      <c r="H275" s="9">
        <v>39572</v>
      </c>
    </row>
    <row r="276" spans="6:8">
      <c r="F276">
        <v>5653</v>
      </c>
      <c r="G276">
        <v>4249</v>
      </c>
      <c r="H276" s="9">
        <v>39572</v>
      </c>
    </row>
    <row r="277" spans="6:8">
      <c r="F277">
        <v>5654</v>
      </c>
      <c r="G277">
        <v>4250</v>
      </c>
      <c r="H277" s="9">
        <v>39572</v>
      </c>
    </row>
    <row r="278" spans="6:8">
      <c r="F278">
        <v>5656</v>
      </c>
      <c r="G278">
        <v>4251</v>
      </c>
      <c r="H278" s="9">
        <v>39572</v>
      </c>
    </row>
    <row r="279" spans="6:8">
      <c r="F279">
        <v>5668</v>
      </c>
      <c r="G279">
        <v>538</v>
      </c>
      <c r="H279" s="9">
        <v>39573</v>
      </c>
    </row>
    <row r="280" spans="6:8">
      <c r="F280">
        <v>5680</v>
      </c>
      <c r="G280">
        <v>4257</v>
      </c>
      <c r="H280" s="9">
        <v>39572</v>
      </c>
    </row>
    <row r="281" spans="6:8">
      <c r="F281">
        <v>5690</v>
      </c>
      <c r="G281">
        <v>1152</v>
      </c>
      <c r="H281" s="9">
        <v>39573</v>
      </c>
    </row>
    <row r="282" spans="6:8">
      <c r="F282">
        <v>5691</v>
      </c>
      <c r="G282">
        <v>2771</v>
      </c>
      <c r="H282" s="9">
        <v>39573</v>
      </c>
    </row>
    <row r="283" spans="6:8">
      <c r="F283">
        <v>5701</v>
      </c>
      <c r="G283">
        <v>2773</v>
      </c>
      <c r="H283" s="9">
        <v>39573</v>
      </c>
    </row>
    <row r="284" spans="6:8">
      <c r="F284">
        <v>5709</v>
      </c>
      <c r="G284">
        <v>1261</v>
      </c>
      <c r="H284" s="9">
        <v>39573</v>
      </c>
    </row>
    <row r="285" spans="6:8">
      <c r="F285">
        <v>5718</v>
      </c>
      <c r="G285">
        <v>2629</v>
      </c>
      <c r="H285" s="9">
        <v>39573</v>
      </c>
    </row>
    <row r="286" spans="6:8">
      <c r="F286">
        <v>5791</v>
      </c>
      <c r="G286">
        <v>4274</v>
      </c>
      <c r="H286" s="9">
        <v>39573</v>
      </c>
    </row>
    <row r="287" spans="6:8">
      <c r="F287">
        <v>5797</v>
      </c>
      <c r="G287">
        <v>3140</v>
      </c>
      <c r="H287" s="9">
        <v>39573</v>
      </c>
    </row>
    <row r="288" spans="6:8">
      <c r="F288">
        <v>5801</v>
      </c>
      <c r="G288">
        <v>4275</v>
      </c>
      <c r="H288" s="9">
        <v>39573</v>
      </c>
    </row>
    <row r="289" spans="6:8">
      <c r="F289">
        <v>5868</v>
      </c>
      <c r="G289">
        <v>4289</v>
      </c>
      <c r="H289" s="9">
        <v>39575</v>
      </c>
    </row>
    <row r="290" spans="6:8">
      <c r="F290">
        <v>5904</v>
      </c>
      <c r="G290">
        <v>2257</v>
      </c>
      <c r="H290" s="9">
        <v>39574</v>
      </c>
    </row>
    <row r="291" spans="6:8">
      <c r="F291">
        <v>5930</v>
      </c>
      <c r="G291">
        <v>4037</v>
      </c>
      <c r="H291" s="9">
        <v>39574</v>
      </c>
    </row>
    <row r="292" spans="6:8">
      <c r="F292">
        <v>5935</v>
      </c>
      <c r="G292">
        <v>4296</v>
      </c>
      <c r="H292" s="9">
        <v>39574</v>
      </c>
    </row>
    <row r="293" spans="6:8">
      <c r="F293">
        <v>5936</v>
      </c>
      <c r="G293">
        <v>4297</v>
      </c>
      <c r="H293" s="9">
        <v>39574</v>
      </c>
    </row>
    <row r="294" spans="6:8">
      <c r="F294">
        <v>5938</v>
      </c>
      <c r="G294">
        <v>4298</v>
      </c>
      <c r="H294" s="9">
        <v>39574</v>
      </c>
    </row>
    <row r="295" spans="6:8">
      <c r="F295">
        <v>5948</v>
      </c>
      <c r="G295">
        <v>4302</v>
      </c>
      <c r="H295" s="9">
        <v>39575</v>
      </c>
    </row>
    <row r="296" spans="6:8">
      <c r="F296">
        <v>5963</v>
      </c>
      <c r="G296">
        <v>233</v>
      </c>
      <c r="H296" s="9">
        <v>39576</v>
      </c>
    </row>
    <row r="297" spans="6:8">
      <c r="F297">
        <v>5965</v>
      </c>
      <c r="G297">
        <v>3879</v>
      </c>
      <c r="H297" s="9">
        <v>39579</v>
      </c>
    </row>
    <row r="298" spans="6:8">
      <c r="F298">
        <v>5978</v>
      </c>
      <c r="G298">
        <v>2253</v>
      </c>
      <c r="H298" s="9">
        <v>39576</v>
      </c>
    </row>
    <row r="299" spans="6:8">
      <c r="F299">
        <v>5996</v>
      </c>
      <c r="G299">
        <v>4313</v>
      </c>
      <c r="H299" s="9">
        <v>39579</v>
      </c>
    </row>
    <row r="300" spans="6:8">
      <c r="F300">
        <v>5997</v>
      </c>
      <c r="G300">
        <v>4314</v>
      </c>
      <c r="H300" s="9">
        <v>39579</v>
      </c>
    </row>
    <row r="301" spans="6:8">
      <c r="F301">
        <v>5998</v>
      </c>
      <c r="G301">
        <v>3638</v>
      </c>
      <c r="H301" s="9">
        <v>39579</v>
      </c>
    </row>
    <row r="302" spans="6:8">
      <c r="F302">
        <v>6006</v>
      </c>
      <c r="G302">
        <v>4072</v>
      </c>
      <c r="H302" s="9">
        <v>39576</v>
      </c>
    </row>
    <row r="303" spans="6:8">
      <c r="F303">
        <v>6037</v>
      </c>
      <c r="G303">
        <v>4325</v>
      </c>
      <c r="H303" s="9">
        <v>39580</v>
      </c>
    </row>
    <row r="304" spans="6:8">
      <c r="F304">
        <v>6046</v>
      </c>
      <c r="G304">
        <v>3941</v>
      </c>
      <c r="H304" s="9">
        <v>39580</v>
      </c>
    </row>
    <row r="305" spans="6:8">
      <c r="F305">
        <v>6049</v>
      </c>
      <c r="G305">
        <v>4327</v>
      </c>
      <c r="H305" s="9">
        <v>39580</v>
      </c>
    </row>
    <row r="306" spans="6:8">
      <c r="F306">
        <v>6051</v>
      </c>
      <c r="G306">
        <v>4329</v>
      </c>
      <c r="H306" s="9">
        <v>39580</v>
      </c>
    </row>
    <row r="307" spans="6:8">
      <c r="F307">
        <v>6053</v>
      </c>
      <c r="G307">
        <v>4333</v>
      </c>
      <c r="H307" s="9">
        <v>39580</v>
      </c>
    </row>
    <row r="308" spans="6:8">
      <c r="F308">
        <v>6054</v>
      </c>
      <c r="G308">
        <v>4332</v>
      </c>
      <c r="H308" s="9">
        <v>39580</v>
      </c>
    </row>
    <row r="309" spans="6:8">
      <c r="F309">
        <v>6063</v>
      </c>
      <c r="G309">
        <v>4334</v>
      </c>
      <c r="H309" s="9">
        <v>39579</v>
      </c>
    </row>
    <row r="310" spans="6:8">
      <c r="F310">
        <v>6068</v>
      </c>
      <c r="G310">
        <v>1702</v>
      </c>
      <c r="H310" s="9">
        <v>39579</v>
      </c>
    </row>
    <row r="311" spans="6:8">
      <c r="F311">
        <v>6083</v>
      </c>
      <c r="G311">
        <v>1881</v>
      </c>
      <c r="H311" s="9">
        <v>39579</v>
      </c>
    </row>
    <row r="312" spans="6:8">
      <c r="F312">
        <v>6151</v>
      </c>
      <c r="G312">
        <v>2696</v>
      </c>
      <c r="H312" s="9">
        <v>39568</v>
      </c>
    </row>
    <row r="313" spans="6:8">
      <c r="F313">
        <v>6152</v>
      </c>
      <c r="G313">
        <v>2701</v>
      </c>
      <c r="H313" s="9">
        <v>39568</v>
      </c>
    </row>
    <row r="314" spans="6:8">
      <c r="F314">
        <v>6153</v>
      </c>
      <c r="G314">
        <v>2705</v>
      </c>
      <c r="H314" s="9">
        <v>39568</v>
      </c>
    </row>
    <row r="315" spans="6:8">
      <c r="F315">
        <v>6154</v>
      </c>
      <c r="G315">
        <v>2706</v>
      </c>
      <c r="H315" s="9">
        <v>39568</v>
      </c>
    </row>
    <row r="316" spans="6:8">
      <c r="F316">
        <v>6155</v>
      </c>
      <c r="G316">
        <v>2708</v>
      </c>
      <c r="H316" s="9">
        <v>39568</v>
      </c>
    </row>
    <row r="317" spans="6:8">
      <c r="F317">
        <v>6156</v>
      </c>
      <c r="G317">
        <v>2711</v>
      </c>
      <c r="H317" s="9">
        <v>39568</v>
      </c>
    </row>
    <row r="318" spans="6:8">
      <c r="F318">
        <v>6157</v>
      </c>
      <c r="G318">
        <v>2716</v>
      </c>
      <c r="H318" s="9">
        <v>39568</v>
      </c>
    </row>
    <row r="319" spans="6:8">
      <c r="F319">
        <v>6158</v>
      </c>
      <c r="G319">
        <v>2717</v>
      </c>
      <c r="H319" s="9">
        <v>39568</v>
      </c>
    </row>
    <row r="320" spans="6:8">
      <c r="F320">
        <v>6159</v>
      </c>
      <c r="G320">
        <v>2719</v>
      </c>
      <c r="H320" s="9">
        <v>39568</v>
      </c>
    </row>
    <row r="321" spans="6:8">
      <c r="F321">
        <v>6160</v>
      </c>
      <c r="G321">
        <v>2720</v>
      </c>
      <c r="H321" s="9">
        <v>39568</v>
      </c>
    </row>
    <row r="322" spans="6:8">
      <c r="F322">
        <v>6161</v>
      </c>
      <c r="G322">
        <v>2721</v>
      </c>
      <c r="H322" s="9">
        <v>39568</v>
      </c>
    </row>
    <row r="323" spans="6:8">
      <c r="F323">
        <v>6162</v>
      </c>
      <c r="G323">
        <v>2728</v>
      </c>
      <c r="H323" s="9">
        <v>39568</v>
      </c>
    </row>
    <row r="324" spans="6:8">
      <c r="F324">
        <v>6163</v>
      </c>
      <c r="G324">
        <v>2699</v>
      </c>
      <c r="H324" s="9">
        <v>39568</v>
      </c>
    </row>
    <row r="325" spans="6:8">
      <c r="F325">
        <v>6164</v>
      </c>
      <c r="G325">
        <v>2700</v>
      </c>
      <c r="H325" s="9">
        <v>39568</v>
      </c>
    </row>
    <row r="326" spans="6:8">
      <c r="F326">
        <v>6165</v>
      </c>
      <c r="G326">
        <v>2715</v>
      </c>
      <c r="H326" s="9">
        <v>39568</v>
      </c>
    </row>
    <row r="327" spans="6:8">
      <c r="F327">
        <v>6166</v>
      </c>
      <c r="G327">
        <v>2722</v>
      </c>
      <c r="H327" s="9">
        <v>39568</v>
      </c>
    </row>
    <row r="328" spans="6:8">
      <c r="F328">
        <v>6167</v>
      </c>
      <c r="G328">
        <v>2725</v>
      </c>
      <c r="H328" s="9">
        <v>39568</v>
      </c>
    </row>
    <row r="329" spans="6:8">
      <c r="F329">
        <v>6168</v>
      </c>
      <c r="G329">
        <v>2726</v>
      </c>
      <c r="H329" s="9">
        <v>39568</v>
      </c>
    </row>
    <row r="330" spans="6:8">
      <c r="F330">
        <v>6169</v>
      </c>
      <c r="G330">
        <v>2727</v>
      </c>
      <c r="H330" s="9">
        <v>39568</v>
      </c>
    </row>
    <row r="331" spans="6:8">
      <c r="F331">
        <v>6170</v>
      </c>
      <c r="G331">
        <v>3438</v>
      </c>
      <c r="H331" s="9">
        <v>39568</v>
      </c>
    </row>
    <row r="332" spans="6:8">
      <c r="F332">
        <v>6171</v>
      </c>
      <c r="G332">
        <v>2694</v>
      </c>
      <c r="H332" s="9">
        <v>39568</v>
      </c>
    </row>
    <row r="333" spans="6:8">
      <c r="F333">
        <v>6172</v>
      </c>
      <c r="G333">
        <v>2695</v>
      </c>
      <c r="H333" s="9">
        <v>39568</v>
      </c>
    </row>
    <row r="334" spans="6:8">
      <c r="F334">
        <v>6173</v>
      </c>
      <c r="G334">
        <v>2703</v>
      </c>
      <c r="H334" s="9">
        <v>39568</v>
      </c>
    </row>
    <row r="335" spans="6:8">
      <c r="F335">
        <v>6174</v>
      </c>
      <c r="G335">
        <v>2709</v>
      </c>
      <c r="H335" s="9">
        <v>39568</v>
      </c>
    </row>
    <row r="336" spans="6:8">
      <c r="F336">
        <v>6175</v>
      </c>
      <c r="G336">
        <v>2710</v>
      </c>
      <c r="H336" s="9">
        <v>39568</v>
      </c>
    </row>
    <row r="337" spans="6:8">
      <c r="F337">
        <v>6176</v>
      </c>
      <c r="G337">
        <v>2693</v>
      </c>
      <c r="H337" s="9">
        <v>39568</v>
      </c>
    </row>
    <row r="338" spans="6:8">
      <c r="F338">
        <v>6177</v>
      </c>
      <c r="G338">
        <v>2712</v>
      </c>
      <c r="H338" s="9">
        <v>39568</v>
      </c>
    </row>
    <row r="339" spans="6:8">
      <c r="F339">
        <v>6178</v>
      </c>
      <c r="G339">
        <v>3442</v>
      </c>
      <c r="H339" s="9">
        <v>39568</v>
      </c>
    </row>
    <row r="340" spans="6:8">
      <c r="F340">
        <v>6197</v>
      </c>
      <c r="G340">
        <v>4353</v>
      </c>
      <c r="H340" s="9">
        <v>39582</v>
      </c>
    </row>
    <row r="341" spans="6:8">
      <c r="F341">
        <v>6201</v>
      </c>
      <c r="G341">
        <v>3963</v>
      </c>
      <c r="H341" s="9">
        <v>39582</v>
      </c>
    </row>
    <row r="342" spans="6:8">
      <c r="F342">
        <v>6214</v>
      </c>
      <c r="G342">
        <v>4360</v>
      </c>
      <c r="H342" s="9">
        <v>39583</v>
      </c>
    </row>
    <row r="343" spans="6:8">
      <c r="F343">
        <v>6216</v>
      </c>
      <c r="G343">
        <v>4362</v>
      </c>
      <c r="H343" s="9">
        <v>39583</v>
      </c>
    </row>
    <row r="344" spans="6:8">
      <c r="F344">
        <v>6217</v>
      </c>
      <c r="G344">
        <v>2980</v>
      </c>
      <c r="H344" s="9">
        <v>39583</v>
      </c>
    </row>
    <row r="345" spans="6:8">
      <c r="F345">
        <v>6218</v>
      </c>
      <c r="G345">
        <v>4363</v>
      </c>
      <c r="H345" s="9">
        <v>39583</v>
      </c>
    </row>
    <row r="346" spans="6:8">
      <c r="F346">
        <v>6219</v>
      </c>
      <c r="G346">
        <v>2991</v>
      </c>
      <c r="H346" s="9">
        <v>39583</v>
      </c>
    </row>
    <row r="347" spans="6:8">
      <c r="F347">
        <v>6220</v>
      </c>
      <c r="G347">
        <v>2988</v>
      </c>
      <c r="H347" s="9">
        <v>39583</v>
      </c>
    </row>
    <row r="348" spans="6:8">
      <c r="F348">
        <v>6221</v>
      </c>
      <c r="G348">
        <v>2989</v>
      </c>
      <c r="H348" s="9">
        <v>39583</v>
      </c>
    </row>
    <row r="349" spans="6:8">
      <c r="F349">
        <v>6222</v>
      </c>
      <c r="G349">
        <v>410</v>
      </c>
      <c r="H349" s="9">
        <v>39583</v>
      </c>
    </row>
    <row r="350" spans="6:8">
      <c r="F350">
        <v>6279</v>
      </c>
      <c r="G350">
        <v>4370</v>
      </c>
      <c r="H350" s="9">
        <v>39587</v>
      </c>
    </row>
    <row r="351" spans="6:8">
      <c r="F351">
        <v>6302</v>
      </c>
      <c r="G351">
        <v>2759</v>
      </c>
      <c r="H351" s="9">
        <v>39583</v>
      </c>
    </row>
    <row r="352" spans="6:8">
      <c r="F352">
        <v>6322</v>
      </c>
      <c r="G352">
        <v>4061</v>
      </c>
      <c r="H352" s="9">
        <v>39587</v>
      </c>
    </row>
    <row r="353" spans="6:8">
      <c r="F353">
        <v>6329</v>
      </c>
      <c r="G353">
        <v>3957</v>
      </c>
      <c r="H353" s="9">
        <v>39587</v>
      </c>
    </row>
    <row r="354" spans="6:8">
      <c r="F354">
        <v>6340</v>
      </c>
      <c r="G354">
        <v>3955</v>
      </c>
      <c r="H354" s="9">
        <v>39587</v>
      </c>
    </row>
    <row r="355" spans="6:8">
      <c r="F355">
        <v>6393</v>
      </c>
      <c r="G355">
        <v>4394</v>
      </c>
      <c r="H355" s="9">
        <v>39588</v>
      </c>
    </row>
    <row r="356" spans="6:8">
      <c r="F356">
        <v>6397</v>
      </c>
      <c r="G356">
        <v>4395</v>
      </c>
      <c r="H356" s="9">
        <v>39588</v>
      </c>
    </row>
    <row r="357" spans="6:8">
      <c r="F357">
        <v>6405</v>
      </c>
      <c r="G357">
        <v>4400</v>
      </c>
      <c r="H357" s="9">
        <v>39588</v>
      </c>
    </row>
    <row r="358" spans="6:8">
      <c r="F358">
        <v>6408</v>
      </c>
      <c r="G358">
        <v>3951</v>
      </c>
      <c r="H358" s="9">
        <v>39588</v>
      </c>
    </row>
    <row r="359" spans="6:8">
      <c r="F359">
        <v>6409</v>
      </c>
      <c r="G359">
        <v>4402</v>
      </c>
      <c r="H359" s="9">
        <v>39588</v>
      </c>
    </row>
    <row r="360" spans="6:8">
      <c r="F360">
        <v>6434</v>
      </c>
      <c r="G360">
        <v>4415</v>
      </c>
      <c r="H360" s="9">
        <v>39589</v>
      </c>
    </row>
    <row r="361" spans="6:8">
      <c r="F361">
        <v>6435</v>
      </c>
      <c r="G361">
        <v>4244</v>
      </c>
      <c r="H361" s="9">
        <v>39589</v>
      </c>
    </row>
    <row r="362" spans="6:8">
      <c r="F362">
        <v>6438</v>
      </c>
      <c r="G362">
        <v>4355</v>
      </c>
      <c r="H362" s="9">
        <v>39589</v>
      </c>
    </row>
    <row r="363" spans="6:8">
      <c r="F363">
        <v>6439</v>
      </c>
      <c r="G363">
        <v>4417</v>
      </c>
      <c r="H363" s="9">
        <v>39589</v>
      </c>
    </row>
    <row r="364" spans="6:8">
      <c r="F364">
        <v>6464</v>
      </c>
      <c r="G364">
        <v>4424</v>
      </c>
      <c r="H364" s="9">
        <v>39589</v>
      </c>
    </row>
    <row r="365" spans="6:8">
      <c r="F365">
        <v>6465</v>
      </c>
      <c r="G365">
        <v>4159</v>
      </c>
      <c r="H365" s="9">
        <v>39589</v>
      </c>
    </row>
    <row r="366" spans="6:8">
      <c r="F366">
        <v>6477</v>
      </c>
      <c r="G366">
        <v>3082</v>
      </c>
      <c r="H366" s="9">
        <v>39588</v>
      </c>
    </row>
    <row r="367" spans="6:8">
      <c r="F367">
        <v>6549</v>
      </c>
      <c r="G367">
        <v>4437</v>
      </c>
      <c r="H367" s="9">
        <v>39590</v>
      </c>
    </row>
    <row r="368" spans="6:8">
      <c r="F368">
        <v>6562</v>
      </c>
      <c r="G368">
        <v>4440</v>
      </c>
      <c r="H368" s="9">
        <v>39568</v>
      </c>
    </row>
    <row r="369" spans="6:8">
      <c r="F369">
        <v>6591</v>
      </c>
      <c r="G369">
        <v>1643</v>
      </c>
      <c r="H369" s="9">
        <v>39596</v>
      </c>
    </row>
    <row r="370" spans="6:8">
      <c r="F370">
        <v>6639</v>
      </c>
      <c r="G370">
        <v>4448</v>
      </c>
      <c r="H370" s="9">
        <v>39597</v>
      </c>
    </row>
    <row r="371" spans="6:8">
      <c r="F371">
        <v>6653</v>
      </c>
      <c r="G371">
        <v>4450</v>
      </c>
      <c r="H371" s="9">
        <v>39601</v>
      </c>
    </row>
    <row r="372" spans="6:8">
      <c r="F372">
        <v>6660</v>
      </c>
      <c r="G372">
        <v>3747</v>
      </c>
      <c r="H372" s="9">
        <v>39601</v>
      </c>
    </row>
    <row r="373" spans="6:8">
      <c r="F373">
        <v>6664</v>
      </c>
      <c r="G373">
        <v>4456</v>
      </c>
      <c r="H373" s="9">
        <v>39601</v>
      </c>
    </row>
    <row r="374" spans="6:8">
      <c r="F374">
        <v>6665</v>
      </c>
      <c r="G374">
        <v>4340</v>
      </c>
      <c r="H374" s="9">
        <v>39601</v>
      </c>
    </row>
    <row r="375" spans="6:8">
      <c r="F375">
        <v>6677</v>
      </c>
      <c r="G375">
        <v>4462</v>
      </c>
      <c r="H375" s="9">
        <v>39601</v>
      </c>
    </row>
    <row r="376" spans="6:8">
      <c r="F376">
        <v>6678</v>
      </c>
      <c r="G376">
        <v>4463</v>
      </c>
      <c r="H376" s="9">
        <v>39601</v>
      </c>
    </row>
    <row r="377" spans="6:8">
      <c r="F377">
        <v>6787</v>
      </c>
      <c r="G377">
        <v>4490</v>
      </c>
      <c r="H377" s="9">
        <v>39603</v>
      </c>
    </row>
    <row r="378" spans="6:8">
      <c r="F378">
        <v>6824</v>
      </c>
      <c r="G378">
        <v>2239</v>
      </c>
      <c r="H378" s="9">
        <v>39604</v>
      </c>
    </row>
    <row r="379" spans="6:8">
      <c r="F379">
        <v>6839</v>
      </c>
      <c r="G379">
        <v>4492</v>
      </c>
      <c r="H379" s="9">
        <v>39604</v>
      </c>
    </row>
    <row r="380" spans="6:8">
      <c r="F380">
        <v>6862</v>
      </c>
      <c r="G380">
        <v>4505</v>
      </c>
      <c r="H380" s="9">
        <v>39603</v>
      </c>
    </row>
    <row r="381" spans="6:8">
      <c r="F381">
        <v>6863</v>
      </c>
      <c r="G381">
        <v>4506</v>
      </c>
      <c r="H381" s="9">
        <v>39604</v>
      </c>
    </row>
    <row r="382" spans="6:8">
      <c r="F382">
        <v>6865</v>
      </c>
      <c r="G382">
        <v>4508</v>
      </c>
      <c r="H382" s="9">
        <v>39604</v>
      </c>
    </row>
    <row r="383" spans="6:8">
      <c r="F383">
        <v>6874</v>
      </c>
      <c r="G383">
        <v>4461</v>
      </c>
      <c r="H383" s="9">
        <v>39604</v>
      </c>
    </row>
    <row r="384" spans="6:8">
      <c r="F384">
        <v>6876</v>
      </c>
      <c r="G384">
        <v>4513</v>
      </c>
      <c r="H384" s="9">
        <v>39604</v>
      </c>
    </row>
    <row r="385" spans="6:8">
      <c r="F385">
        <v>6927</v>
      </c>
      <c r="G385">
        <v>4527</v>
      </c>
      <c r="H385" s="9">
        <v>39607</v>
      </c>
    </row>
    <row r="386" spans="6:8">
      <c r="F386">
        <v>6931</v>
      </c>
      <c r="G386">
        <v>4530</v>
      </c>
      <c r="H386" s="9">
        <v>39607</v>
      </c>
    </row>
    <row r="387" spans="6:8">
      <c r="F387">
        <v>6932</v>
      </c>
      <c r="G387">
        <v>4529</v>
      </c>
      <c r="H387" s="9">
        <v>39607</v>
      </c>
    </row>
    <row r="388" spans="6:8">
      <c r="F388">
        <v>6935</v>
      </c>
      <c r="G388">
        <v>3865</v>
      </c>
      <c r="H388" s="9">
        <v>39607</v>
      </c>
    </row>
    <row r="389" spans="6:8">
      <c r="F389">
        <v>6936</v>
      </c>
      <c r="G389">
        <v>4532</v>
      </c>
      <c r="H389" s="9">
        <v>39607</v>
      </c>
    </row>
    <row r="390" spans="6:8">
      <c r="F390">
        <v>6940</v>
      </c>
      <c r="G390">
        <v>2345</v>
      </c>
      <c r="H390" s="9">
        <v>39608</v>
      </c>
    </row>
    <row r="391" spans="6:8">
      <c r="F391">
        <v>6981</v>
      </c>
      <c r="G391">
        <v>4536</v>
      </c>
      <c r="H391" s="9">
        <v>39609</v>
      </c>
    </row>
    <row r="392" spans="6:8">
      <c r="F392">
        <v>6996</v>
      </c>
      <c r="G392">
        <v>2234</v>
      </c>
      <c r="H392" s="9">
        <v>39609</v>
      </c>
    </row>
    <row r="393" spans="6:8">
      <c r="F393">
        <v>7002</v>
      </c>
      <c r="G393">
        <v>3129</v>
      </c>
      <c r="H393" s="9">
        <v>39609</v>
      </c>
    </row>
    <row r="394" spans="6:8">
      <c r="F394">
        <v>7005</v>
      </c>
      <c r="G394">
        <v>4538</v>
      </c>
      <c r="H394" s="9">
        <v>39609</v>
      </c>
    </row>
    <row r="395" spans="6:8">
      <c r="F395">
        <v>7129</v>
      </c>
      <c r="G395">
        <v>4566</v>
      </c>
      <c r="H395" s="9">
        <v>39611</v>
      </c>
    </row>
    <row r="396" spans="6:8">
      <c r="F396">
        <v>7136</v>
      </c>
      <c r="G396">
        <v>2385</v>
      </c>
      <c r="H396" s="9">
        <v>39614</v>
      </c>
    </row>
    <row r="397" spans="6:8">
      <c r="F397">
        <v>7150</v>
      </c>
      <c r="G397">
        <v>4300</v>
      </c>
      <c r="H397" s="9">
        <v>39614</v>
      </c>
    </row>
    <row r="398" spans="6:8">
      <c r="F398">
        <v>7156</v>
      </c>
      <c r="G398">
        <v>4580</v>
      </c>
      <c r="H398" s="9">
        <v>39614</v>
      </c>
    </row>
    <row r="399" spans="6:8">
      <c r="F399">
        <v>7158</v>
      </c>
      <c r="G399">
        <v>4582</v>
      </c>
      <c r="H399" s="9">
        <v>39614</v>
      </c>
    </row>
    <row r="400" spans="6:8">
      <c r="F400">
        <v>7266</v>
      </c>
      <c r="G400">
        <v>4608</v>
      </c>
      <c r="H400" s="9">
        <v>39616</v>
      </c>
    </row>
    <row r="401" spans="6:8">
      <c r="F401">
        <v>7290</v>
      </c>
      <c r="G401">
        <v>3508</v>
      </c>
      <c r="H401" s="9">
        <v>39618</v>
      </c>
    </row>
    <row r="402" spans="6:8">
      <c r="F402">
        <v>7292</v>
      </c>
      <c r="G402">
        <v>4613</v>
      </c>
      <c r="H402" s="9">
        <v>39618</v>
      </c>
    </row>
    <row r="403" spans="6:8">
      <c r="F403">
        <v>7318</v>
      </c>
      <c r="G403">
        <v>4365</v>
      </c>
      <c r="H403" s="9">
        <v>39618</v>
      </c>
    </row>
    <row r="404" spans="6:8">
      <c r="F404">
        <v>7335</v>
      </c>
      <c r="G404">
        <v>153</v>
      </c>
      <c r="H404" s="9">
        <v>39621</v>
      </c>
    </row>
    <row r="405" spans="6:8">
      <c r="F405">
        <v>7341</v>
      </c>
      <c r="G405">
        <v>4621</v>
      </c>
      <c r="H405" s="9">
        <v>39621</v>
      </c>
    </row>
    <row r="406" spans="6:8">
      <c r="F406">
        <v>7342</v>
      </c>
      <c r="G406">
        <v>4623</v>
      </c>
      <c r="H406" s="9">
        <v>39621</v>
      </c>
    </row>
    <row r="407" spans="6:8">
      <c r="F407">
        <v>7360</v>
      </c>
      <c r="G407">
        <v>4628</v>
      </c>
      <c r="H407" s="9">
        <v>39621</v>
      </c>
    </row>
    <row r="408" spans="6:8">
      <c r="F408">
        <v>7361</v>
      </c>
      <c r="G408">
        <v>4627</v>
      </c>
      <c r="H408" s="9">
        <v>39621</v>
      </c>
    </row>
    <row r="409" spans="6:8">
      <c r="F409">
        <v>7365</v>
      </c>
      <c r="G409">
        <v>4630</v>
      </c>
      <c r="H409" s="9">
        <v>39621</v>
      </c>
    </row>
    <row r="410" spans="6:8">
      <c r="F410">
        <v>7366</v>
      </c>
      <c r="G410">
        <v>4631</v>
      </c>
      <c r="H410" s="9">
        <v>39621</v>
      </c>
    </row>
    <row r="411" spans="6:8">
      <c r="F411">
        <v>7373</v>
      </c>
      <c r="G411">
        <v>4316</v>
      </c>
      <c r="H411" s="9">
        <v>39621</v>
      </c>
    </row>
    <row r="412" spans="6:8">
      <c r="F412">
        <v>7405</v>
      </c>
      <c r="G412">
        <v>4319</v>
      </c>
      <c r="H412" s="9">
        <v>39622</v>
      </c>
    </row>
    <row r="413" spans="6:8">
      <c r="F413">
        <v>7425</v>
      </c>
      <c r="G413">
        <v>3366</v>
      </c>
      <c r="H413" s="9">
        <v>39621</v>
      </c>
    </row>
    <row r="414" spans="6:8">
      <c r="F414">
        <v>7434</v>
      </c>
      <c r="G414">
        <v>2652</v>
      </c>
      <c r="H414" s="9">
        <v>39618</v>
      </c>
    </row>
    <row r="415" spans="6:8">
      <c r="F415">
        <v>7455</v>
      </c>
      <c r="G415">
        <v>4178</v>
      </c>
      <c r="H415" s="9">
        <v>39623</v>
      </c>
    </row>
    <row r="416" spans="6:8">
      <c r="F416">
        <v>7457</v>
      </c>
      <c r="G416">
        <v>4651</v>
      </c>
      <c r="H416" s="9">
        <v>39623</v>
      </c>
    </row>
    <row r="417" spans="6:8">
      <c r="F417">
        <v>7482</v>
      </c>
      <c r="G417">
        <v>4654</v>
      </c>
      <c r="H417" s="9">
        <v>39623</v>
      </c>
    </row>
    <row r="418" spans="6:8">
      <c r="F418">
        <v>7493</v>
      </c>
      <c r="G418">
        <v>768</v>
      </c>
      <c r="H418" s="9">
        <v>39623</v>
      </c>
    </row>
    <row r="419" spans="6:8">
      <c r="F419">
        <v>7510</v>
      </c>
      <c r="G419">
        <v>4669</v>
      </c>
      <c r="H419" s="9">
        <v>39623</v>
      </c>
    </row>
    <row r="420" spans="6:8">
      <c r="F420">
        <v>7512</v>
      </c>
      <c r="G420">
        <v>4581</v>
      </c>
      <c r="H420" s="9">
        <v>39623</v>
      </c>
    </row>
    <row r="421" spans="6:8">
      <c r="F421">
        <v>7513</v>
      </c>
      <c r="G421">
        <v>4607</v>
      </c>
      <c r="H421" s="9">
        <v>39623</v>
      </c>
    </row>
    <row r="422" spans="6:8">
      <c r="F422">
        <v>7514</v>
      </c>
      <c r="G422">
        <v>4376</v>
      </c>
      <c r="H422" s="9">
        <v>39623</v>
      </c>
    </row>
    <row r="423" spans="6:8">
      <c r="F423">
        <v>7515</v>
      </c>
      <c r="G423">
        <v>827</v>
      </c>
      <c r="H423" s="9">
        <v>39624</v>
      </c>
    </row>
    <row r="424" spans="6:8">
      <c r="F424">
        <v>7535</v>
      </c>
      <c r="G424">
        <v>2995</v>
      </c>
      <c r="H424" s="9">
        <v>39624</v>
      </c>
    </row>
    <row r="425" spans="6:8">
      <c r="F425">
        <v>7538</v>
      </c>
      <c r="G425">
        <v>4671</v>
      </c>
      <c r="H425" s="9">
        <v>39624</v>
      </c>
    </row>
    <row r="426" spans="6:8">
      <c r="F426">
        <v>7549</v>
      </c>
      <c r="G426">
        <v>4672</v>
      </c>
      <c r="H426" s="9">
        <v>39624</v>
      </c>
    </row>
    <row r="427" spans="6:8">
      <c r="F427">
        <v>7550</v>
      </c>
      <c r="G427">
        <v>4673</v>
      </c>
      <c r="H427" s="9">
        <v>39625</v>
      </c>
    </row>
    <row r="428" spans="6:8">
      <c r="F428">
        <v>7552</v>
      </c>
      <c r="G428">
        <v>4675</v>
      </c>
      <c r="H428" s="9">
        <v>39624</v>
      </c>
    </row>
    <row r="429" spans="6:8">
      <c r="F429">
        <v>7553</v>
      </c>
      <c r="G429">
        <v>4676</v>
      </c>
      <c r="H429" s="9">
        <v>39624</v>
      </c>
    </row>
    <row r="430" spans="6:8">
      <c r="F430">
        <v>7563</v>
      </c>
      <c r="G430">
        <v>4531</v>
      </c>
      <c r="H430" s="9">
        <v>39624</v>
      </c>
    </row>
    <row r="431" spans="6:8">
      <c r="F431">
        <v>7575</v>
      </c>
      <c r="G431">
        <v>3919</v>
      </c>
      <c r="H431" s="9">
        <v>39625</v>
      </c>
    </row>
    <row r="432" spans="6:8">
      <c r="F432">
        <v>7579</v>
      </c>
      <c r="G432">
        <v>4684</v>
      </c>
      <c r="H432" s="9">
        <v>39625</v>
      </c>
    </row>
    <row r="433" spans="6:8">
      <c r="F433">
        <v>7581</v>
      </c>
      <c r="G433">
        <v>1583</v>
      </c>
      <c r="H433" s="9">
        <v>39625</v>
      </c>
    </row>
    <row r="434" spans="6:8">
      <c r="F434">
        <v>7635</v>
      </c>
      <c r="G434">
        <v>4706</v>
      </c>
      <c r="H434" s="9">
        <v>39629</v>
      </c>
    </row>
    <row r="435" spans="6:8">
      <c r="F435">
        <v>7653</v>
      </c>
      <c r="G435">
        <v>203</v>
      </c>
      <c r="H435" s="9">
        <v>39629</v>
      </c>
    </row>
    <row r="436" spans="6:8">
      <c r="F436">
        <v>7662</v>
      </c>
      <c r="G436">
        <v>4708</v>
      </c>
      <c r="H436" s="9">
        <v>39629</v>
      </c>
    </row>
    <row r="437" spans="6:8">
      <c r="F437">
        <v>7668</v>
      </c>
      <c r="G437">
        <v>4712</v>
      </c>
      <c r="H437" s="9">
        <v>39629</v>
      </c>
    </row>
    <row r="438" spans="6:8">
      <c r="F438">
        <v>7673</v>
      </c>
      <c r="G438">
        <v>4715</v>
      </c>
      <c r="H438" s="9">
        <v>39629</v>
      </c>
    </row>
    <row r="439" spans="6:8">
      <c r="F439">
        <v>7680</v>
      </c>
      <c r="G439">
        <v>1372</v>
      </c>
      <c r="H439" s="9">
        <v>39629</v>
      </c>
    </row>
    <row r="440" spans="6:8">
      <c r="F440">
        <v>7681</v>
      </c>
      <c r="G440">
        <v>1144</v>
      </c>
      <c r="H440" s="9">
        <v>39629</v>
      </c>
    </row>
    <row r="441" spans="6:8">
      <c r="F441">
        <v>7684</v>
      </c>
      <c r="G441">
        <v>3523</v>
      </c>
      <c r="H441" s="9">
        <v>39630</v>
      </c>
    </row>
    <row r="442" spans="6:8">
      <c r="F442">
        <v>7703</v>
      </c>
      <c r="G442">
        <v>1906</v>
      </c>
      <c r="H442" s="9">
        <v>39629</v>
      </c>
    </row>
    <row r="443" spans="6:8">
      <c r="F443">
        <v>7709</v>
      </c>
      <c r="G443">
        <v>1972</v>
      </c>
      <c r="H443" s="9">
        <v>39629</v>
      </c>
    </row>
    <row r="444" spans="6:8">
      <c r="F444">
        <v>7731</v>
      </c>
      <c r="G444">
        <v>1492</v>
      </c>
      <c r="H444" s="9">
        <v>39629</v>
      </c>
    </row>
    <row r="445" spans="6:8">
      <c r="F445">
        <v>7737</v>
      </c>
      <c r="G445">
        <v>3081</v>
      </c>
      <c r="H445" s="9">
        <v>39629</v>
      </c>
    </row>
    <row r="446" spans="6:8">
      <c r="F446">
        <v>7755</v>
      </c>
      <c r="G446">
        <v>1071</v>
      </c>
      <c r="H446" s="9">
        <v>39630</v>
      </c>
    </row>
    <row r="447" spans="6:8">
      <c r="F447">
        <v>7770</v>
      </c>
      <c r="G447">
        <v>4732</v>
      </c>
      <c r="H447" s="9">
        <v>39630</v>
      </c>
    </row>
    <row r="448" spans="6:8">
      <c r="F448">
        <v>7805</v>
      </c>
      <c r="G448">
        <v>4735</v>
      </c>
      <c r="H448" s="9">
        <v>39631</v>
      </c>
    </row>
    <row r="449" spans="6:8">
      <c r="F449">
        <v>7807</v>
      </c>
      <c r="G449">
        <v>4737</v>
      </c>
      <c r="H449" s="9">
        <v>39631</v>
      </c>
    </row>
    <row r="450" spans="6:8">
      <c r="F450">
        <v>7813</v>
      </c>
      <c r="G450">
        <v>4742</v>
      </c>
      <c r="H450" s="9">
        <v>39632</v>
      </c>
    </row>
    <row r="451" spans="6:8">
      <c r="F451">
        <v>7816</v>
      </c>
      <c r="G451">
        <v>4745</v>
      </c>
      <c r="H451" s="9">
        <v>39632</v>
      </c>
    </row>
    <row r="452" spans="6:8">
      <c r="F452">
        <v>7829</v>
      </c>
      <c r="G452">
        <v>3446</v>
      </c>
      <c r="H452" s="9">
        <v>39632</v>
      </c>
    </row>
    <row r="453" spans="6:8">
      <c r="F453">
        <v>7836</v>
      </c>
      <c r="G453">
        <v>393</v>
      </c>
      <c r="H453" s="9">
        <v>39632</v>
      </c>
    </row>
    <row r="454" spans="6:8">
      <c r="F454">
        <v>7925</v>
      </c>
      <c r="G454">
        <v>4169</v>
      </c>
      <c r="H454" s="9">
        <v>39635</v>
      </c>
    </row>
    <row r="455" spans="6:8">
      <c r="F455">
        <v>7939</v>
      </c>
      <c r="G455">
        <v>4772</v>
      </c>
      <c r="H455" s="9">
        <v>40543</v>
      </c>
    </row>
    <row r="456" spans="6:8">
      <c r="F456">
        <v>7940</v>
      </c>
      <c r="G456">
        <v>3981</v>
      </c>
      <c r="H456" s="9">
        <v>39635</v>
      </c>
    </row>
    <row r="457" spans="6:8">
      <c r="F457">
        <v>7943</v>
      </c>
      <c r="G457">
        <v>4774</v>
      </c>
      <c r="H457" s="9">
        <v>39635</v>
      </c>
    </row>
    <row r="458" spans="6:8">
      <c r="F458">
        <v>7945</v>
      </c>
      <c r="G458">
        <v>4485</v>
      </c>
      <c r="H458" s="9">
        <v>39635</v>
      </c>
    </row>
    <row r="459" spans="6:8">
      <c r="F459">
        <v>7946</v>
      </c>
      <c r="G459">
        <v>4778</v>
      </c>
      <c r="H459" s="9">
        <v>39635</v>
      </c>
    </row>
    <row r="460" spans="6:8">
      <c r="F460">
        <v>7947</v>
      </c>
      <c r="G460">
        <v>4779</v>
      </c>
      <c r="H460" s="9">
        <v>39635</v>
      </c>
    </row>
    <row r="461" spans="6:8">
      <c r="F461">
        <v>7948</v>
      </c>
      <c r="G461">
        <v>4145</v>
      </c>
      <c r="H461" s="9">
        <v>39635</v>
      </c>
    </row>
    <row r="462" spans="6:8">
      <c r="F462">
        <v>7952</v>
      </c>
      <c r="G462">
        <v>4304</v>
      </c>
      <c r="H462" s="9">
        <v>39635</v>
      </c>
    </row>
    <row r="463" spans="6:8">
      <c r="F463">
        <v>7954</v>
      </c>
      <c r="G463">
        <v>4784</v>
      </c>
      <c r="H463" s="9">
        <v>39635</v>
      </c>
    </row>
    <row r="464" spans="6:8">
      <c r="F464">
        <v>7957</v>
      </c>
      <c r="G464">
        <v>4321</v>
      </c>
      <c r="H464" s="9">
        <v>39635</v>
      </c>
    </row>
    <row r="465" spans="6:8">
      <c r="F465">
        <v>8011</v>
      </c>
      <c r="G465">
        <v>4167</v>
      </c>
      <c r="H465" s="9">
        <v>39636</v>
      </c>
    </row>
    <row r="466" spans="6:8">
      <c r="F466">
        <v>8017</v>
      </c>
      <c r="G466">
        <v>4794</v>
      </c>
      <c r="H466" s="9">
        <v>39636</v>
      </c>
    </row>
    <row r="467" spans="6:8">
      <c r="F467">
        <v>8035</v>
      </c>
      <c r="G467">
        <v>2822</v>
      </c>
      <c r="H467" s="9">
        <v>39636</v>
      </c>
    </row>
    <row r="468" spans="6:8">
      <c r="F468">
        <v>8039</v>
      </c>
      <c r="G468">
        <v>1506</v>
      </c>
      <c r="H468" s="9">
        <v>39636</v>
      </c>
    </row>
    <row r="469" spans="6:8">
      <c r="F469">
        <v>8049</v>
      </c>
      <c r="G469">
        <v>4807</v>
      </c>
      <c r="H469" s="9">
        <v>39636</v>
      </c>
    </row>
    <row r="470" spans="6:8">
      <c r="F470">
        <v>8050</v>
      </c>
      <c r="G470">
        <v>3868</v>
      </c>
      <c r="H470" s="9">
        <v>39636</v>
      </c>
    </row>
    <row r="471" spans="6:8">
      <c r="F471">
        <v>8051</v>
      </c>
      <c r="G471">
        <v>4809</v>
      </c>
      <c r="H471" s="9">
        <v>39636</v>
      </c>
    </row>
    <row r="472" spans="6:8">
      <c r="F472">
        <v>8116</v>
      </c>
      <c r="G472">
        <v>4434</v>
      </c>
      <c r="H472" s="9">
        <v>39637</v>
      </c>
    </row>
    <row r="473" spans="6:8">
      <c r="F473">
        <v>8130</v>
      </c>
      <c r="G473">
        <v>4247</v>
      </c>
      <c r="H473" s="9">
        <v>39637</v>
      </c>
    </row>
    <row r="474" spans="6:8">
      <c r="F474">
        <v>8139</v>
      </c>
      <c r="G474">
        <v>3478</v>
      </c>
      <c r="H474" s="9">
        <v>39637</v>
      </c>
    </row>
    <row r="475" spans="6:8">
      <c r="F475">
        <v>8141</v>
      </c>
      <c r="G475">
        <v>3663</v>
      </c>
      <c r="H475" s="9">
        <v>39637</v>
      </c>
    </row>
    <row r="476" spans="6:8">
      <c r="F476">
        <v>8142</v>
      </c>
      <c r="G476">
        <v>4795</v>
      </c>
      <c r="H476" s="9">
        <v>39637</v>
      </c>
    </row>
    <row r="477" spans="6:8">
      <c r="F477">
        <v>8147</v>
      </c>
      <c r="G477">
        <v>4814</v>
      </c>
      <c r="H477" s="9">
        <v>39637</v>
      </c>
    </row>
    <row r="478" spans="6:8">
      <c r="F478">
        <v>8148</v>
      </c>
      <c r="G478">
        <v>4723</v>
      </c>
      <c r="H478" s="9">
        <v>39637</v>
      </c>
    </row>
    <row r="479" spans="6:8">
      <c r="F479">
        <v>8149</v>
      </c>
      <c r="G479">
        <v>4426</v>
      </c>
      <c r="H479" s="9">
        <v>39637</v>
      </c>
    </row>
    <row r="480" spans="6:8">
      <c r="F480">
        <v>8150</v>
      </c>
      <c r="G480">
        <v>4815</v>
      </c>
      <c r="H480" s="9">
        <v>39637</v>
      </c>
    </row>
    <row r="481" spans="6:8">
      <c r="F481">
        <v>8151</v>
      </c>
      <c r="G481">
        <v>4606</v>
      </c>
      <c r="H481" s="9">
        <v>39637</v>
      </c>
    </row>
    <row r="482" spans="6:8">
      <c r="F482">
        <v>8165</v>
      </c>
      <c r="G482">
        <v>4385</v>
      </c>
      <c r="H482" s="9">
        <v>39638</v>
      </c>
    </row>
    <row r="483" spans="6:8">
      <c r="F483">
        <v>8167</v>
      </c>
      <c r="G483">
        <v>4816</v>
      </c>
      <c r="H483" s="9">
        <v>39638</v>
      </c>
    </row>
    <row r="484" spans="6:8">
      <c r="F484">
        <v>8172</v>
      </c>
      <c r="G484">
        <v>3732</v>
      </c>
      <c r="H484" s="9">
        <v>39638</v>
      </c>
    </row>
    <row r="485" spans="6:8">
      <c r="F485">
        <v>8173</v>
      </c>
      <c r="G485">
        <v>4818</v>
      </c>
      <c r="H485" s="9">
        <v>39638</v>
      </c>
    </row>
    <row r="486" spans="6:8">
      <c r="F486">
        <v>8229</v>
      </c>
      <c r="G486">
        <v>4311</v>
      </c>
      <c r="H486" s="9">
        <v>39638</v>
      </c>
    </row>
    <row r="487" spans="6:8">
      <c r="F487">
        <v>8293</v>
      </c>
      <c r="G487">
        <v>3183</v>
      </c>
      <c r="H487" s="9">
        <v>39642</v>
      </c>
    </row>
    <row r="488" spans="6:8">
      <c r="F488">
        <v>8296</v>
      </c>
      <c r="G488">
        <v>3942</v>
      </c>
      <c r="H488" s="9">
        <v>39642</v>
      </c>
    </row>
    <row r="489" spans="6:8">
      <c r="F489">
        <v>8298</v>
      </c>
      <c r="G489">
        <v>4835</v>
      </c>
      <c r="H489" s="9">
        <v>39642</v>
      </c>
    </row>
    <row r="490" spans="6:8">
      <c r="F490">
        <v>8299</v>
      </c>
      <c r="G490">
        <v>4837</v>
      </c>
      <c r="H490" s="9">
        <v>39642</v>
      </c>
    </row>
    <row r="491" spans="6:8">
      <c r="F491">
        <v>8300</v>
      </c>
      <c r="G491">
        <v>4838</v>
      </c>
      <c r="H491" s="9">
        <v>39642</v>
      </c>
    </row>
    <row r="492" spans="6:8">
      <c r="F492">
        <v>8302</v>
      </c>
      <c r="G492">
        <v>4840</v>
      </c>
      <c r="H492" s="9">
        <v>39642</v>
      </c>
    </row>
    <row r="493" spans="6:8">
      <c r="F493">
        <v>8340</v>
      </c>
      <c r="G493">
        <v>3500</v>
      </c>
      <c r="H493" s="9">
        <v>39644</v>
      </c>
    </row>
    <row r="494" spans="6:8">
      <c r="F494">
        <v>8354</v>
      </c>
      <c r="G494">
        <v>4846</v>
      </c>
      <c r="H494" s="9">
        <v>39644</v>
      </c>
    </row>
    <row r="495" spans="6:8">
      <c r="F495">
        <v>8357</v>
      </c>
      <c r="G495">
        <v>4237</v>
      </c>
      <c r="H495" s="9">
        <v>39644</v>
      </c>
    </row>
    <row r="496" spans="6:8">
      <c r="F496">
        <v>8360</v>
      </c>
      <c r="G496">
        <v>4242</v>
      </c>
      <c r="H496" s="9">
        <v>39644</v>
      </c>
    </row>
    <row r="497" spans="6:8">
      <c r="F497">
        <v>8362</v>
      </c>
      <c r="G497">
        <v>3546</v>
      </c>
      <c r="H497" s="9">
        <v>39644</v>
      </c>
    </row>
    <row r="498" spans="6:8">
      <c r="F498">
        <v>8365</v>
      </c>
      <c r="G498">
        <v>4850</v>
      </c>
      <c r="H498" s="9">
        <v>39644</v>
      </c>
    </row>
    <row r="499" spans="6:8">
      <c r="F499">
        <v>8367</v>
      </c>
      <c r="G499">
        <v>4851</v>
      </c>
      <c r="H499" s="9">
        <v>39644</v>
      </c>
    </row>
    <row r="500" spans="6:8">
      <c r="F500">
        <v>8369</v>
      </c>
      <c r="G500">
        <v>4852</v>
      </c>
      <c r="H500" s="9">
        <v>39644</v>
      </c>
    </row>
    <row r="501" spans="6:8">
      <c r="F501">
        <v>8371</v>
      </c>
      <c r="G501">
        <v>4853</v>
      </c>
      <c r="H501" s="9">
        <v>39644</v>
      </c>
    </row>
    <row r="502" spans="6:8">
      <c r="F502">
        <v>8372</v>
      </c>
      <c r="G502">
        <v>4119</v>
      </c>
      <c r="H502" s="9">
        <v>39644</v>
      </c>
    </row>
    <row r="503" spans="6:8">
      <c r="F503">
        <v>8374</v>
      </c>
      <c r="G503">
        <v>4855</v>
      </c>
      <c r="H503" s="9">
        <v>39644</v>
      </c>
    </row>
    <row r="504" spans="6:8">
      <c r="F504">
        <v>8375</v>
      </c>
      <c r="G504">
        <v>4181</v>
      </c>
      <c r="H504" s="9">
        <v>39644</v>
      </c>
    </row>
    <row r="505" spans="6:8">
      <c r="F505">
        <v>8384</v>
      </c>
      <c r="G505">
        <v>3669</v>
      </c>
      <c r="H505" s="9">
        <v>39644</v>
      </c>
    </row>
    <row r="506" spans="6:8">
      <c r="F506">
        <v>8385</v>
      </c>
      <c r="G506">
        <v>4797</v>
      </c>
      <c r="H506" s="9">
        <v>39644</v>
      </c>
    </row>
    <row r="507" spans="6:8">
      <c r="F507">
        <v>8388</v>
      </c>
      <c r="G507">
        <v>4860</v>
      </c>
      <c r="H507" s="9">
        <v>39644</v>
      </c>
    </row>
    <row r="508" spans="6:8">
      <c r="F508">
        <v>8423</v>
      </c>
      <c r="G508">
        <v>541</v>
      </c>
      <c r="H508" s="9">
        <v>39644</v>
      </c>
    </row>
    <row r="509" spans="6:8">
      <c r="F509">
        <v>8447</v>
      </c>
      <c r="G509">
        <v>4863</v>
      </c>
      <c r="H509" s="9">
        <v>39644</v>
      </c>
    </row>
    <row r="510" spans="6:8">
      <c r="F510">
        <v>8449</v>
      </c>
      <c r="G510">
        <v>187</v>
      </c>
      <c r="H510" s="9">
        <v>39644</v>
      </c>
    </row>
    <row r="511" spans="6:8">
      <c r="F511">
        <v>8465</v>
      </c>
      <c r="G511">
        <v>1677</v>
      </c>
      <c r="H511" s="9">
        <v>39644</v>
      </c>
    </row>
    <row r="512" spans="6:8">
      <c r="F512">
        <v>8467</v>
      </c>
      <c r="G512">
        <v>1677</v>
      </c>
      <c r="H512" s="9">
        <v>39644</v>
      </c>
    </row>
    <row r="513" spans="6:8">
      <c r="F513">
        <v>8478</v>
      </c>
      <c r="G513">
        <v>2954</v>
      </c>
      <c r="H513" s="9">
        <v>39644</v>
      </c>
    </row>
    <row r="514" spans="6:8">
      <c r="F514">
        <v>8489</v>
      </c>
      <c r="G514">
        <v>4348</v>
      </c>
      <c r="H514" s="9">
        <v>39644</v>
      </c>
    </row>
    <row r="515" spans="6:8">
      <c r="F515">
        <v>8509</v>
      </c>
      <c r="G515">
        <v>1963</v>
      </c>
      <c r="H515" s="9">
        <v>39644</v>
      </c>
    </row>
    <row r="516" spans="6:8">
      <c r="F516">
        <v>8518</v>
      </c>
      <c r="G516">
        <v>2430</v>
      </c>
      <c r="H516" s="9">
        <v>39644</v>
      </c>
    </row>
    <row r="517" spans="6:8">
      <c r="F517">
        <v>8541</v>
      </c>
      <c r="G517">
        <v>4871</v>
      </c>
      <c r="H517" s="9">
        <v>39644</v>
      </c>
    </row>
    <row r="518" spans="6:8">
      <c r="F518">
        <v>8556</v>
      </c>
      <c r="G518">
        <v>4879</v>
      </c>
      <c r="H518" s="9">
        <v>39644</v>
      </c>
    </row>
    <row r="519" spans="6:8">
      <c r="F519">
        <v>8558</v>
      </c>
      <c r="G519">
        <v>4881</v>
      </c>
      <c r="H519" s="9">
        <v>39644</v>
      </c>
    </row>
    <row r="520" spans="6:8">
      <c r="F520">
        <v>8559</v>
      </c>
      <c r="G520">
        <v>4882</v>
      </c>
      <c r="H520" s="9">
        <v>39644</v>
      </c>
    </row>
    <row r="521" spans="6:8">
      <c r="F521">
        <v>8566</v>
      </c>
      <c r="G521">
        <v>4884</v>
      </c>
      <c r="H521" s="9">
        <v>39644</v>
      </c>
    </row>
    <row r="522" spans="6:8">
      <c r="F522">
        <v>8572</v>
      </c>
      <c r="G522">
        <v>4888</v>
      </c>
      <c r="H522" s="9">
        <v>39645</v>
      </c>
    </row>
    <row r="523" spans="6:8">
      <c r="F523">
        <v>8576</v>
      </c>
      <c r="G523">
        <v>4889</v>
      </c>
      <c r="H523" s="9">
        <v>39645</v>
      </c>
    </row>
    <row r="524" spans="6:8">
      <c r="F524">
        <v>8590</v>
      </c>
      <c r="G524">
        <v>3491</v>
      </c>
      <c r="H524" s="9">
        <v>39648</v>
      </c>
    </row>
    <row r="525" spans="6:8">
      <c r="F525">
        <v>8602</v>
      </c>
      <c r="G525">
        <v>4908</v>
      </c>
      <c r="H525" s="9">
        <v>39648</v>
      </c>
    </row>
    <row r="526" spans="6:8">
      <c r="F526">
        <v>8607</v>
      </c>
      <c r="G526">
        <v>4909</v>
      </c>
      <c r="H526" s="9">
        <v>39648</v>
      </c>
    </row>
    <row r="527" spans="6:8">
      <c r="F527">
        <v>8611</v>
      </c>
      <c r="G527">
        <v>1244</v>
      </c>
      <c r="H527" s="9">
        <v>39648</v>
      </c>
    </row>
    <row r="528" spans="6:8">
      <c r="F528">
        <v>8612</v>
      </c>
      <c r="G528">
        <v>4910</v>
      </c>
      <c r="H528" s="9">
        <v>39648</v>
      </c>
    </row>
    <row r="529" spans="6:8">
      <c r="F529">
        <v>8617</v>
      </c>
      <c r="G529">
        <v>4913</v>
      </c>
      <c r="H529" s="9">
        <v>39648</v>
      </c>
    </row>
    <row r="530" spans="6:8">
      <c r="F530">
        <v>8627</v>
      </c>
      <c r="G530">
        <v>2469</v>
      </c>
      <c r="H530" s="9">
        <v>39648</v>
      </c>
    </row>
    <row r="531" spans="6:8">
      <c r="F531">
        <v>8631</v>
      </c>
      <c r="G531">
        <v>2857</v>
      </c>
      <c r="H531" s="9">
        <v>39648</v>
      </c>
    </row>
    <row r="532" spans="6:8">
      <c r="F532">
        <v>8651</v>
      </c>
      <c r="G532">
        <v>4917</v>
      </c>
      <c r="H532" s="9">
        <v>39648</v>
      </c>
    </row>
    <row r="533" spans="6:8">
      <c r="F533">
        <v>8659</v>
      </c>
      <c r="G533">
        <v>1911</v>
      </c>
      <c r="H533" s="9">
        <v>39648</v>
      </c>
    </row>
    <row r="534" spans="6:8">
      <c r="F534">
        <v>8676</v>
      </c>
      <c r="G534">
        <v>3170</v>
      </c>
      <c r="H534" s="9">
        <v>39648</v>
      </c>
    </row>
    <row r="535" spans="6:8">
      <c r="F535">
        <v>8678</v>
      </c>
      <c r="G535">
        <v>3653</v>
      </c>
      <c r="H535" s="9">
        <v>39648</v>
      </c>
    </row>
    <row r="536" spans="6:8">
      <c r="F536">
        <v>8679</v>
      </c>
      <c r="G536">
        <v>4899</v>
      </c>
      <c r="H536" s="9">
        <v>39648</v>
      </c>
    </row>
    <row r="537" spans="6:8">
      <c r="F537">
        <v>8682</v>
      </c>
      <c r="G537">
        <v>4901</v>
      </c>
      <c r="H537" s="9">
        <v>39648</v>
      </c>
    </row>
    <row r="538" spans="6:8">
      <c r="F538">
        <v>8683</v>
      </c>
      <c r="G538">
        <v>4892</v>
      </c>
      <c r="H538" s="9">
        <v>39648</v>
      </c>
    </row>
    <row r="539" spans="6:8">
      <c r="F539">
        <v>8684</v>
      </c>
      <c r="G539">
        <v>3970</v>
      </c>
      <c r="H539" s="9">
        <v>39648</v>
      </c>
    </row>
    <row r="540" spans="6:8">
      <c r="F540">
        <v>8689</v>
      </c>
      <c r="G540">
        <v>4896</v>
      </c>
      <c r="H540" s="9">
        <v>39648</v>
      </c>
    </row>
    <row r="541" spans="6:8">
      <c r="F541">
        <v>8691</v>
      </c>
      <c r="G541">
        <v>4878</v>
      </c>
      <c r="H541" s="9">
        <v>39648</v>
      </c>
    </row>
    <row r="542" spans="6:8">
      <c r="F542">
        <v>8732</v>
      </c>
      <c r="G542">
        <v>352</v>
      </c>
      <c r="H542" s="9">
        <v>39649</v>
      </c>
    </row>
    <row r="543" spans="6:8">
      <c r="F543">
        <v>8785</v>
      </c>
      <c r="G543">
        <v>2070</v>
      </c>
      <c r="H543" s="9">
        <v>39650</v>
      </c>
    </row>
    <row r="544" spans="6:8">
      <c r="F544">
        <v>8792</v>
      </c>
      <c r="G544">
        <v>309</v>
      </c>
      <c r="H544" s="9">
        <v>39650</v>
      </c>
    </row>
    <row r="545" spans="6:8">
      <c r="F545">
        <v>8804</v>
      </c>
      <c r="G545">
        <v>4849</v>
      </c>
      <c r="H545" s="9">
        <v>39650</v>
      </c>
    </row>
    <row r="546" spans="6:8">
      <c r="F546">
        <v>8806</v>
      </c>
      <c r="G546">
        <v>4933</v>
      </c>
      <c r="H546" s="9">
        <v>39650</v>
      </c>
    </row>
    <row r="547" spans="6:8">
      <c r="F547">
        <v>8807</v>
      </c>
      <c r="G547">
        <v>4934</v>
      </c>
      <c r="H547" s="9">
        <v>39650</v>
      </c>
    </row>
    <row r="548" spans="6:8">
      <c r="F548">
        <v>8808</v>
      </c>
      <c r="G548">
        <v>4935</v>
      </c>
      <c r="H548" s="9">
        <v>39650</v>
      </c>
    </row>
    <row r="549" spans="6:8">
      <c r="F549">
        <v>8809</v>
      </c>
      <c r="G549">
        <v>4936</v>
      </c>
      <c r="H549" s="9">
        <v>39651</v>
      </c>
    </row>
    <row r="550" spans="6:8">
      <c r="F550">
        <v>8810</v>
      </c>
      <c r="G550">
        <v>4937</v>
      </c>
      <c r="H550" s="9">
        <v>39651</v>
      </c>
    </row>
    <row r="551" spans="6:8">
      <c r="F551">
        <v>8814</v>
      </c>
      <c r="G551">
        <v>4941</v>
      </c>
      <c r="H551" s="9">
        <v>39651</v>
      </c>
    </row>
    <row r="552" spans="6:8">
      <c r="F552">
        <v>8824</v>
      </c>
      <c r="G552">
        <v>4944</v>
      </c>
      <c r="H552" s="9">
        <v>39651</v>
      </c>
    </row>
    <row r="553" spans="6:8">
      <c r="F553">
        <v>8825</v>
      </c>
      <c r="G553">
        <v>3901</v>
      </c>
      <c r="H553" s="9">
        <v>39651</v>
      </c>
    </row>
    <row r="554" spans="6:8">
      <c r="F554">
        <v>8827</v>
      </c>
      <c r="G554">
        <v>4946</v>
      </c>
      <c r="H554" s="9">
        <v>39651</v>
      </c>
    </row>
    <row r="555" spans="6:8">
      <c r="F555">
        <v>8829</v>
      </c>
      <c r="G555">
        <v>4948</v>
      </c>
      <c r="H555" s="9">
        <v>39651</v>
      </c>
    </row>
    <row r="556" spans="6:8">
      <c r="F556">
        <v>8832</v>
      </c>
      <c r="G556">
        <v>4952</v>
      </c>
      <c r="H556" s="9">
        <v>39651</v>
      </c>
    </row>
    <row r="557" spans="6:8">
      <c r="F557">
        <v>8851</v>
      </c>
      <c r="G557">
        <v>4955</v>
      </c>
      <c r="H557" s="9">
        <v>39651</v>
      </c>
    </row>
    <row r="558" spans="6:8">
      <c r="F558">
        <v>8940</v>
      </c>
      <c r="G558">
        <v>546</v>
      </c>
      <c r="H558" s="9">
        <v>39655</v>
      </c>
    </row>
    <row r="559" spans="6:8">
      <c r="F559">
        <v>8959</v>
      </c>
      <c r="G559">
        <v>4960</v>
      </c>
      <c r="H559" s="9">
        <v>39656</v>
      </c>
    </row>
    <row r="560" spans="6:8">
      <c r="F560">
        <v>8965</v>
      </c>
      <c r="G560">
        <v>4963</v>
      </c>
      <c r="H560" s="9">
        <v>39661</v>
      </c>
    </row>
    <row r="561" spans="6:8">
      <c r="F561">
        <v>8966</v>
      </c>
      <c r="G561">
        <v>4854</v>
      </c>
      <c r="H561" s="9">
        <v>39657</v>
      </c>
    </row>
    <row r="562" spans="6:8">
      <c r="F562">
        <v>8967</v>
      </c>
      <c r="G562">
        <v>4696</v>
      </c>
      <c r="H562" s="9">
        <v>39657</v>
      </c>
    </row>
    <row r="563" spans="6:8">
      <c r="F563">
        <v>8968</v>
      </c>
      <c r="G563">
        <v>4964</v>
      </c>
      <c r="H563" s="9">
        <v>39657</v>
      </c>
    </row>
    <row r="564" spans="6:8">
      <c r="F564">
        <v>8969</v>
      </c>
      <c r="G564">
        <v>2910</v>
      </c>
      <c r="H564" s="9">
        <v>39655</v>
      </c>
    </row>
    <row r="565" spans="6:8">
      <c r="F565">
        <v>8991</v>
      </c>
      <c r="G565">
        <v>3107</v>
      </c>
      <c r="H565" s="9">
        <v>39657</v>
      </c>
    </row>
    <row r="566" spans="6:8">
      <c r="F566">
        <v>8997</v>
      </c>
      <c r="G566">
        <v>5082</v>
      </c>
      <c r="H566" s="9">
        <v>39661</v>
      </c>
    </row>
    <row r="567" spans="6:8">
      <c r="F567">
        <v>8998</v>
      </c>
      <c r="G567">
        <v>4114</v>
      </c>
      <c r="H567" s="9">
        <v>39661</v>
      </c>
    </row>
    <row r="568" spans="6:8">
      <c r="F568">
        <v>8999</v>
      </c>
      <c r="G568">
        <v>5083</v>
      </c>
      <c r="H568" s="9">
        <v>39661</v>
      </c>
    </row>
    <row r="569" spans="6:8">
      <c r="F569">
        <v>9000</v>
      </c>
      <c r="G569">
        <v>5084</v>
      </c>
      <c r="H569" s="9">
        <v>39656</v>
      </c>
    </row>
    <row r="570" spans="6:8">
      <c r="F570">
        <v>9002</v>
      </c>
      <c r="G570">
        <v>4839</v>
      </c>
      <c r="H570" s="9">
        <v>39661</v>
      </c>
    </row>
    <row r="571" spans="6:8">
      <c r="F571">
        <v>9004</v>
      </c>
      <c r="G571">
        <v>4219</v>
      </c>
      <c r="H571" s="9">
        <v>39661</v>
      </c>
    </row>
    <row r="572" spans="6:8">
      <c r="F572">
        <v>9005</v>
      </c>
      <c r="G572">
        <v>5089</v>
      </c>
      <c r="H572" s="9">
        <v>39661</v>
      </c>
    </row>
    <row r="573" spans="6:8">
      <c r="F573">
        <v>9006</v>
      </c>
      <c r="G573">
        <v>4843</v>
      </c>
      <c r="H573" s="9">
        <v>39661</v>
      </c>
    </row>
    <row r="574" spans="6:8">
      <c r="F574">
        <v>9010</v>
      </c>
      <c r="G574">
        <v>5092</v>
      </c>
      <c r="H574" s="9">
        <v>39661</v>
      </c>
    </row>
    <row r="575" spans="6:8">
      <c r="F575">
        <v>9024</v>
      </c>
      <c r="G575">
        <v>4982</v>
      </c>
      <c r="H575" s="9">
        <v>39661</v>
      </c>
    </row>
    <row r="576" spans="6:8">
      <c r="F576">
        <v>9025</v>
      </c>
      <c r="G576">
        <v>4983</v>
      </c>
      <c r="H576" s="9">
        <v>39661</v>
      </c>
    </row>
    <row r="577" spans="6:8">
      <c r="F577">
        <v>9027</v>
      </c>
      <c r="G577">
        <v>5101</v>
      </c>
      <c r="H577" s="9">
        <v>39661</v>
      </c>
    </row>
    <row r="578" spans="6:8">
      <c r="F578">
        <v>9129</v>
      </c>
      <c r="G578">
        <v>5118</v>
      </c>
      <c r="H578" s="9">
        <v>39665</v>
      </c>
    </row>
    <row r="579" spans="6:8">
      <c r="F579">
        <v>9131</v>
      </c>
      <c r="G579">
        <v>5120</v>
      </c>
      <c r="H579" s="9">
        <v>39665</v>
      </c>
    </row>
    <row r="580" spans="6:8">
      <c r="F580">
        <v>9144</v>
      </c>
      <c r="G580">
        <v>5122</v>
      </c>
      <c r="H580" s="9">
        <v>39662</v>
      </c>
    </row>
    <row r="581" spans="6:8">
      <c r="F581">
        <v>9146</v>
      </c>
      <c r="G581">
        <v>5124</v>
      </c>
      <c r="H581" s="9">
        <v>39665</v>
      </c>
    </row>
    <row r="582" spans="6:8">
      <c r="F582">
        <v>9159</v>
      </c>
      <c r="G582">
        <v>5127</v>
      </c>
      <c r="H582" s="9">
        <v>39665</v>
      </c>
    </row>
    <row r="583" spans="6:8">
      <c r="F583">
        <v>9161</v>
      </c>
      <c r="G583">
        <v>5129</v>
      </c>
      <c r="H583" s="9">
        <v>39665</v>
      </c>
    </row>
    <row r="584" spans="6:8">
      <c r="F584">
        <v>9168</v>
      </c>
      <c r="G584">
        <v>412</v>
      </c>
      <c r="H584" s="9">
        <v>39665</v>
      </c>
    </row>
    <row r="585" spans="6:8">
      <c r="F585">
        <v>9169</v>
      </c>
      <c r="G585">
        <v>5130</v>
      </c>
      <c r="H585" s="9">
        <v>39665</v>
      </c>
    </row>
    <row r="586" spans="6:8">
      <c r="F586">
        <v>9170</v>
      </c>
      <c r="G586">
        <v>3394</v>
      </c>
      <c r="H586" s="9">
        <v>39665</v>
      </c>
    </row>
    <row r="587" spans="6:8">
      <c r="F587">
        <v>9171</v>
      </c>
      <c r="G587">
        <v>5131</v>
      </c>
      <c r="H587" s="9">
        <v>39665</v>
      </c>
    </row>
    <row r="588" spans="6:8">
      <c r="F588">
        <v>9183</v>
      </c>
      <c r="G588">
        <v>5133</v>
      </c>
      <c r="H588" s="9">
        <v>39665</v>
      </c>
    </row>
    <row r="589" spans="6:8">
      <c r="F589">
        <v>9195</v>
      </c>
      <c r="G589">
        <v>4416</v>
      </c>
      <c r="H589" s="9">
        <v>39665</v>
      </c>
    </row>
    <row r="590" spans="6:8">
      <c r="F590">
        <v>9196</v>
      </c>
      <c r="G590">
        <v>5137</v>
      </c>
      <c r="H590" s="9">
        <v>39665</v>
      </c>
    </row>
    <row r="591" spans="6:8">
      <c r="F591">
        <v>9197</v>
      </c>
      <c r="G591">
        <v>4629</v>
      </c>
      <c r="H591" s="9">
        <v>39665</v>
      </c>
    </row>
    <row r="592" spans="6:8">
      <c r="F592">
        <v>9250</v>
      </c>
      <c r="G592">
        <v>3371</v>
      </c>
      <c r="H592" s="9">
        <v>39665</v>
      </c>
    </row>
    <row r="593" spans="6:8">
      <c r="F593">
        <v>9295</v>
      </c>
      <c r="G593">
        <v>3867</v>
      </c>
      <c r="H593" s="9">
        <v>39666</v>
      </c>
    </row>
    <row r="594" spans="6:8">
      <c r="F594">
        <v>9296</v>
      </c>
      <c r="G594">
        <v>4685</v>
      </c>
      <c r="H594" s="9">
        <v>39666</v>
      </c>
    </row>
    <row r="595" spans="6:8">
      <c r="F595">
        <v>9300</v>
      </c>
      <c r="G595">
        <v>1254</v>
      </c>
      <c r="H595" s="9">
        <v>39666</v>
      </c>
    </row>
    <row r="596" spans="6:8">
      <c r="F596">
        <v>9303</v>
      </c>
      <c r="G596">
        <v>3103</v>
      </c>
      <c r="H596" s="9">
        <v>39666</v>
      </c>
    </row>
    <row r="597" spans="6:8">
      <c r="F597">
        <v>9306</v>
      </c>
      <c r="G597">
        <v>2741</v>
      </c>
      <c r="H597" s="9">
        <v>39666</v>
      </c>
    </row>
    <row r="598" spans="6:8">
      <c r="F598">
        <v>9328</v>
      </c>
      <c r="G598">
        <v>5148</v>
      </c>
      <c r="H598" s="9">
        <v>39666</v>
      </c>
    </row>
    <row r="599" spans="6:8">
      <c r="F599">
        <v>9335</v>
      </c>
      <c r="G599">
        <v>5150</v>
      </c>
      <c r="H599" s="9">
        <v>39666</v>
      </c>
    </row>
    <row r="600" spans="6:8">
      <c r="F600">
        <v>9350</v>
      </c>
      <c r="G600">
        <v>1794</v>
      </c>
      <c r="H600" s="9">
        <v>39666</v>
      </c>
    </row>
    <row r="601" spans="6:8">
      <c r="F601">
        <v>9384</v>
      </c>
      <c r="G601">
        <v>5156</v>
      </c>
      <c r="H601" s="9">
        <v>39667</v>
      </c>
    </row>
    <row r="602" spans="6:8">
      <c r="F602">
        <v>9391</v>
      </c>
      <c r="G602">
        <v>5159</v>
      </c>
      <c r="H602" s="9">
        <v>39667</v>
      </c>
    </row>
    <row r="603" spans="6:8">
      <c r="F603">
        <v>9429</v>
      </c>
      <c r="G603">
        <v>1778</v>
      </c>
      <c r="H603" s="9">
        <v>39667</v>
      </c>
    </row>
    <row r="604" spans="6:8">
      <c r="F604">
        <v>9431</v>
      </c>
      <c r="G604">
        <v>5160</v>
      </c>
      <c r="H604" s="9">
        <v>39667</v>
      </c>
    </row>
    <row r="605" spans="6:8">
      <c r="F605">
        <v>9433</v>
      </c>
      <c r="G605">
        <v>5162</v>
      </c>
      <c r="H605" s="9">
        <v>39667</v>
      </c>
    </row>
    <row r="606" spans="6:8">
      <c r="F606">
        <v>9435</v>
      </c>
      <c r="G606">
        <v>4942</v>
      </c>
      <c r="H606" s="9">
        <v>39667</v>
      </c>
    </row>
    <row r="607" spans="6:8">
      <c r="F607">
        <v>9438</v>
      </c>
      <c r="G607">
        <v>5164</v>
      </c>
      <c r="H607" s="9">
        <v>39667</v>
      </c>
    </row>
    <row r="608" spans="6:8">
      <c r="F608">
        <v>9444</v>
      </c>
      <c r="G608">
        <v>5167</v>
      </c>
      <c r="H608" s="9">
        <v>39667</v>
      </c>
    </row>
    <row r="609" spans="6:8">
      <c r="F609">
        <v>9448</v>
      </c>
      <c r="G609">
        <v>5170</v>
      </c>
      <c r="H609" s="9">
        <v>39667</v>
      </c>
    </row>
    <row r="610" spans="6:8">
      <c r="F610">
        <v>9460</v>
      </c>
      <c r="G610">
        <v>5172</v>
      </c>
      <c r="H610" s="9">
        <v>39667</v>
      </c>
    </row>
    <row r="611" spans="6:8">
      <c r="F611">
        <v>9462</v>
      </c>
      <c r="G611">
        <v>4221</v>
      </c>
      <c r="H611" s="9">
        <v>39667</v>
      </c>
    </row>
    <row r="612" spans="6:8">
      <c r="F612">
        <v>9482</v>
      </c>
      <c r="G612">
        <v>1681</v>
      </c>
      <c r="H612" s="9">
        <v>39668</v>
      </c>
    </row>
    <row r="613" spans="6:8">
      <c r="F613">
        <v>9487</v>
      </c>
      <c r="G613">
        <v>1303</v>
      </c>
      <c r="H613" s="9">
        <v>39668</v>
      </c>
    </row>
    <row r="614" spans="6:8">
      <c r="F614">
        <v>9507</v>
      </c>
      <c r="G614">
        <v>5174</v>
      </c>
      <c r="H614" s="9">
        <v>39669</v>
      </c>
    </row>
    <row r="615" spans="6:8">
      <c r="F615">
        <v>9538</v>
      </c>
      <c r="G615">
        <v>1948</v>
      </c>
      <c r="H615" s="9">
        <v>39669</v>
      </c>
    </row>
    <row r="616" spans="6:8">
      <c r="F616">
        <v>9542</v>
      </c>
      <c r="G616">
        <v>5177</v>
      </c>
      <c r="H616" s="9">
        <v>39669</v>
      </c>
    </row>
    <row r="617" spans="6:8">
      <c r="F617">
        <v>9558</v>
      </c>
      <c r="G617">
        <v>3972</v>
      </c>
      <c r="H617" s="9">
        <v>39669</v>
      </c>
    </row>
    <row r="618" spans="6:8">
      <c r="F618">
        <v>9561</v>
      </c>
      <c r="G618">
        <v>2403</v>
      </c>
      <c r="H618" s="9">
        <v>39669</v>
      </c>
    </row>
    <row r="619" spans="6:8">
      <c r="F619">
        <v>9583</v>
      </c>
      <c r="G619">
        <v>2772</v>
      </c>
      <c r="H619" s="9">
        <v>39669</v>
      </c>
    </row>
    <row r="620" spans="6:8">
      <c r="F620">
        <v>9600</v>
      </c>
      <c r="G620">
        <v>2356</v>
      </c>
      <c r="H620" s="9">
        <v>39669</v>
      </c>
    </row>
    <row r="621" spans="6:8">
      <c r="F621">
        <v>9625</v>
      </c>
      <c r="G621">
        <v>5191</v>
      </c>
      <c r="H621" s="9">
        <v>39672</v>
      </c>
    </row>
    <row r="622" spans="6:8">
      <c r="F622">
        <v>9627</v>
      </c>
      <c r="G622">
        <v>5192</v>
      </c>
      <c r="H622" s="9">
        <v>39672</v>
      </c>
    </row>
    <row r="623" spans="6:8">
      <c r="F623">
        <v>9628</v>
      </c>
      <c r="G623">
        <v>4914</v>
      </c>
      <c r="H623" s="9">
        <v>39672</v>
      </c>
    </row>
    <row r="624" spans="6:8">
      <c r="F624">
        <v>9631</v>
      </c>
      <c r="G624">
        <v>4895</v>
      </c>
      <c r="H624" s="9">
        <v>39672</v>
      </c>
    </row>
    <row r="625" spans="6:8">
      <c r="F625">
        <v>9632</v>
      </c>
      <c r="G625">
        <v>5195</v>
      </c>
      <c r="H625" s="9">
        <v>39672</v>
      </c>
    </row>
    <row r="626" spans="6:8">
      <c r="F626">
        <v>9633</v>
      </c>
      <c r="G626">
        <v>5196</v>
      </c>
      <c r="H626" s="9">
        <v>39672</v>
      </c>
    </row>
    <row r="627" spans="6:8">
      <c r="F627">
        <v>9635</v>
      </c>
      <c r="G627">
        <v>5197</v>
      </c>
      <c r="H627" s="9">
        <v>39672</v>
      </c>
    </row>
    <row r="628" spans="6:8">
      <c r="F628">
        <v>9636</v>
      </c>
      <c r="G628">
        <v>4252</v>
      </c>
      <c r="H628" s="9">
        <v>39672</v>
      </c>
    </row>
    <row r="629" spans="6:8">
      <c r="F629">
        <v>9638</v>
      </c>
      <c r="G629">
        <v>5199</v>
      </c>
      <c r="H629" s="9">
        <v>39672</v>
      </c>
    </row>
    <row r="630" spans="6:8">
      <c r="F630">
        <v>9640</v>
      </c>
      <c r="G630">
        <v>4504</v>
      </c>
      <c r="H630" s="9">
        <v>39672</v>
      </c>
    </row>
    <row r="631" spans="6:8">
      <c r="F631">
        <v>9645</v>
      </c>
      <c r="G631">
        <v>5204</v>
      </c>
      <c r="H631" s="9">
        <v>39672</v>
      </c>
    </row>
    <row r="632" spans="6:8">
      <c r="F632">
        <v>9647</v>
      </c>
      <c r="G632">
        <v>4698</v>
      </c>
      <c r="H632" s="9">
        <v>39672</v>
      </c>
    </row>
    <row r="633" spans="6:8">
      <c r="F633">
        <v>9648</v>
      </c>
      <c r="G633">
        <v>5205</v>
      </c>
      <c r="H633" s="9">
        <v>39672</v>
      </c>
    </row>
    <row r="634" spans="6:8">
      <c r="F634">
        <v>9649</v>
      </c>
      <c r="G634">
        <v>5206</v>
      </c>
      <c r="H634" s="9">
        <v>39672</v>
      </c>
    </row>
    <row r="635" spans="6:8">
      <c r="F635">
        <v>9650</v>
      </c>
      <c r="G635">
        <v>4894</v>
      </c>
      <c r="H635" s="9">
        <v>39672</v>
      </c>
    </row>
    <row r="636" spans="6:8">
      <c r="F636">
        <v>9656</v>
      </c>
      <c r="G636">
        <v>4113</v>
      </c>
      <c r="H636" s="9">
        <v>39672</v>
      </c>
    </row>
    <row r="637" spans="6:8">
      <c r="F637">
        <v>9658</v>
      </c>
      <c r="G637">
        <v>5210</v>
      </c>
      <c r="H637" s="9">
        <v>39672</v>
      </c>
    </row>
    <row r="638" spans="6:8">
      <c r="F638">
        <v>9660</v>
      </c>
      <c r="G638">
        <v>4528</v>
      </c>
      <c r="H638" s="9">
        <v>39672</v>
      </c>
    </row>
    <row r="639" spans="6:8">
      <c r="F639">
        <v>9667</v>
      </c>
      <c r="G639">
        <v>2390</v>
      </c>
      <c r="H639" s="9">
        <v>39672</v>
      </c>
    </row>
    <row r="640" spans="6:8">
      <c r="F640">
        <v>9692</v>
      </c>
      <c r="G640">
        <v>3188</v>
      </c>
      <c r="H640" s="9">
        <v>39673</v>
      </c>
    </row>
    <row r="641" spans="6:8">
      <c r="F641">
        <v>9705</v>
      </c>
      <c r="G641">
        <v>1136</v>
      </c>
      <c r="H641" s="9">
        <v>39673</v>
      </c>
    </row>
    <row r="642" spans="6:8">
      <c r="F642">
        <v>9714</v>
      </c>
      <c r="G642">
        <v>5253</v>
      </c>
      <c r="H642" s="9">
        <v>39673</v>
      </c>
    </row>
    <row r="643" spans="6:8">
      <c r="F643">
        <v>9753</v>
      </c>
      <c r="G643">
        <v>1988</v>
      </c>
      <c r="H643" s="9">
        <v>39674</v>
      </c>
    </row>
    <row r="644" spans="6:8">
      <c r="F644">
        <v>9764</v>
      </c>
      <c r="G644">
        <v>1961</v>
      </c>
      <c r="H644" s="9">
        <v>39674</v>
      </c>
    </row>
    <row r="645" spans="6:8">
      <c r="F645">
        <v>9769</v>
      </c>
      <c r="G645">
        <v>2871</v>
      </c>
      <c r="H645" s="9">
        <v>39674</v>
      </c>
    </row>
    <row r="646" spans="6:8">
      <c r="F646">
        <v>9809</v>
      </c>
      <c r="G646">
        <v>812</v>
      </c>
      <c r="H646" s="9">
        <v>39674</v>
      </c>
    </row>
    <row r="647" spans="6:8">
      <c r="F647">
        <v>9810</v>
      </c>
      <c r="G647">
        <v>2487</v>
      </c>
      <c r="H647" s="9">
        <v>39674</v>
      </c>
    </row>
    <row r="648" spans="6:8">
      <c r="F648">
        <v>9831</v>
      </c>
      <c r="G648">
        <v>5263</v>
      </c>
      <c r="H648" s="9">
        <v>39674</v>
      </c>
    </row>
    <row r="649" spans="6:8">
      <c r="F649">
        <v>9835</v>
      </c>
      <c r="G649">
        <v>5265</v>
      </c>
      <c r="H649" s="9">
        <v>39674</v>
      </c>
    </row>
    <row r="650" spans="6:8">
      <c r="F650">
        <v>9843</v>
      </c>
      <c r="G650">
        <v>4469</v>
      </c>
      <c r="H650" s="9">
        <v>39675</v>
      </c>
    </row>
    <row r="651" spans="6:8">
      <c r="F651">
        <v>9851</v>
      </c>
      <c r="G651">
        <v>1973</v>
      </c>
      <c r="H651" s="9">
        <v>39675</v>
      </c>
    </row>
    <row r="652" spans="6:8">
      <c r="F652">
        <v>9875</v>
      </c>
      <c r="G652">
        <v>5268</v>
      </c>
      <c r="H652" s="9">
        <v>39675</v>
      </c>
    </row>
    <row r="653" spans="6:8">
      <c r="F653">
        <v>9917</v>
      </c>
      <c r="G653">
        <v>5276</v>
      </c>
      <c r="H653" s="9">
        <v>39676</v>
      </c>
    </row>
    <row r="654" spans="6:8">
      <c r="F654">
        <v>9931</v>
      </c>
      <c r="G654">
        <v>5279</v>
      </c>
      <c r="H654" s="9">
        <v>39676</v>
      </c>
    </row>
    <row r="655" spans="6:8">
      <c r="F655">
        <v>9935</v>
      </c>
      <c r="G655">
        <v>1624</v>
      </c>
      <c r="H655" s="9">
        <v>39676</v>
      </c>
    </row>
    <row r="656" spans="6:8">
      <c r="F656">
        <v>9942</v>
      </c>
      <c r="G656">
        <v>2697</v>
      </c>
      <c r="H656" s="9">
        <v>39629</v>
      </c>
    </row>
    <row r="657" spans="6:8">
      <c r="F657">
        <v>9943</v>
      </c>
      <c r="G657">
        <v>2698</v>
      </c>
      <c r="H657" s="9">
        <v>39629</v>
      </c>
    </row>
    <row r="658" spans="6:8">
      <c r="F658">
        <v>9944</v>
      </c>
      <c r="G658">
        <v>2702</v>
      </c>
      <c r="H658" s="9">
        <v>39629</v>
      </c>
    </row>
    <row r="659" spans="6:8">
      <c r="F659">
        <v>9945</v>
      </c>
      <c r="G659">
        <v>2704</v>
      </c>
      <c r="H659" s="9">
        <v>39629</v>
      </c>
    </row>
    <row r="660" spans="6:8">
      <c r="F660">
        <v>9946</v>
      </c>
      <c r="G660">
        <v>2707</v>
      </c>
      <c r="H660" s="9">
        <v>39629</v>
      </c>
    </row>
    <row r="661" spans="6:8">
      <c r="F661">
        <v>9947</v>
      </c>
      <c r="G661">
        <v>4439</v>
      </c>
      <c r="H661" s="9">
        <v>39629</v>
      </c>
    </row>
    <row r="662" spans="6:8">
      <c r="F662">
        <v>9948</v>
      </c>
      <c r="G662">
        <v>2713</v>
      </c>
      <c r="H662" s="9">
        <v>39629</v>
      </c>
    </row>
    <row r="663" spans="6:8">
      <c r="F663">
        <v>9949</v>
      </c>
      <c r="G663">
        <v>2714</v>
      </c>
      <c r="H663" s="9">
        <v>39629</v>
      </c>
    </row>
    <row r="664" spans="6:8">
      <c r="F664">
        <v>9950</v>
      </c>
      <c r="G664">
        <v>2718</v>
      </c>
      <c r="H664" s="9">
        <v>39629</v>
      </c>
    </row>
    <row r="665" spans="6:8">
      <c r="F665">
        <v>9951</v>
      </c>
      <c r="G665">
        <v>2723</v>
      </c>
      <c r="H665" s="9">
        <v>39629</v>
      </c>
    </row>
    <row r="666" spans="6:8">
      <c r="F666">
        <v>9952</v>
      </c>
      <c r="G666">
        <v>2724</v>
      </c>
      <c r="H666" s="9">
        <v>39629</v>
      </c>
    </row>
    <row r="667" spans="6:8">
      <c r="F667">
        <v>9975</v>
      </c>
      <c r="G667">
        <v>5050</v>
      </c>
      <c r="H667" s="9">
        <v>39676</v>
      </c>
    </row>
    <row r="668" spans="6:8">
      <c r="F668">
        <v>9982</v>
      </c>
      <c r="G668">
        <v>4771</v>
      </c>
      <c r="H668" s="9">
        <v>39676</v>
      </c>
    </row>
    <row r="669" spans="6:8">
      <c r="F669">
        <v>9984</v>
      </c>
      <c r="G669">
        <v>3175</v>
      </c>
      <c r="H669" s="9">
        <v>39676</v>
      </c>
    </row>
    <row r="670" spans="6:8">
      <c r="F670">
        <v>9988</v>
      </c>
      <c r="G670">
        <v>5290</v>
      </c>
      <c r="H670" s="9">
        <v>39676</v>
      </c>
    </row>
    <row r="671" spans="6:8">
      <c r="F671">
        <v>9989</v>
      </c>
      <c r="G671">
        <v>3218</v>
      </c>
      <c r="H671" s="9">
        <v>39676</v>
      </c>
    </row>
    <row r="672" spans="6:8">
      <c r="F672">
        <v>10021</v>
      </c>
      <c r="G672">
        <v>5293</v>
      </c>
      <c r="H672" s="9">
        <v>39679</v>
      </c>
    </row>
    <row r="673" spans="6:8">
      <c r="F673">
        <v>10052</v>
      </c>
      <c r="G673">
        <v>4422</v>
      </c>
      <c r="H673" s="9">
        <v>39680</v>
      </c>
    </row>
    <row r="674" spans="6:8">
      <c r="F674">
        <v>10060</v>
      </c>
      <c r="G674">
        <v>5298</v>
      </c>
      <c r="H674" s="9">
        <v>39680</v>
      </c>
    </row>
    <row r="675" spans="6:8">
      <c r="F675">
        <v>10069</v>
      </c>
      <c r="G675">
        <v>5301</v>
      </c>
      <c r="H675" s="9">
        <v>39680</v>
      </c>
    </row>
    <row r="676" spans="6:8">
      <c r="F676">
        <v>10081</v>
      </c>
      <c r="G676">
        <v>3899</v>
      </c>
      <c r="H676" s="9">
        <v>39680</v>
      </c>
    </row>
    <row r="677" spans="6:8">
      <c r="F677">
        <v>10093</v>
      </c>
      <c r="G677">
        <v>2422</v>
      </c>
      <c r="H677" s="9">
        <v>39682</v>
      </c>
    </row>
    <row r="678" spans="6:8">
      <c r="F678">
        <v>10123</v>
      </c>
      <c r="G678">
        <v>2335</v>
      </c>
      <c r="H678" s="9">
        <v>39682</v>
      </c>
    </row>
    <row r="679" spans="6:8">
      <c r="F679">
        <v>10158</v>
      </c>
      <c r="G679">
        <v>5169</v>
      </c>
      <c r="H679" s="9">
        <v>39682</v>
      </c>
    </row>
    <row r="680" spans="6:8">
      <c r="F680">
        <v>10159</v>
      </c>
      <c r="G680">
        <v>5310</v>
      </c>
      <c r="H680" s="9">
        <v>39682</v>
      </c>
    </row>
    <row r="681" spans="6:8">
      <c r="F681">
        <v>10216</v>
      </c>
      <c r="G681">
        <v>3019</v>
      </c>
      <c r="H681" s="9">
        <v>39683</v>
      </c>
    </row>
    <row r="682" spans="6:8">
      <c r="F682">
        <v>10222</v>
      </c>
      <c r="G682">
        <v>2642</v>
      </c>
      <c r="H682" s="9">
        <v>39683</v>
      </c>
    </row>
    <row r="683" spans="6:8">
      <c r="F683">
        <v>10264</v>
      </c>
      <c r="G683">
        <v>4455</v>
      </c>
      <c r="H683" s="9">
        <v>39686</v>
      </c>
    </row>
    <row r="684" spans="6:8">
      <c r="F684">
        <v>10267</v>
      </c>
      <c r="G684">
        <v>628</v>
      </c>
      <c r="H684" s="9">
        <v>39686</v>
      </c>
    </row>
    <row r="685" spans="6:8">
      <c r="F685">
        <v>10301</v>
      </c>
      <c r="G685">
        <v>5073</v>
      </c>
      <c r="H685" s="9">
        <v>39686</v>
      </c>
    </row>
    <row r="686" spans="6:8">
      <c r="F686">
        <v>10303</v>
      </c>
      <c r="G686">
        <v>5320</v>
      </c>
      <c r="H686" s="9">
        <v>39686</v>
      </c>
    </row>
    <row r="687" spans="6:8">
      <c r="F687">
        <v>10306</v>
      </c>
      <c r="G687">
        <v>5030</v>
      </c>
      <c r="H687" s="9">
        <v>39686</v>
      </c>
    </row>
    <row r="688" spans="6:8">
      <c r="F688">
        <v>10317</v>
      </c>
      <c r="G688">
        <v>2668</v>
      </c>
      <c r="H688" s="9">
        <v>39687</v>
      </c>
    </row>
    <row r="689" spans="6:8">
      <c r="F689">
        <v>10320</v>
      </c>
      <c r="G689">
        <v>1743</v>
      </c>
      <c r="H689" s="9">
        <v>39687</v>
      </c>
    </row>
    <row r="690" spans="6:8">
      <c r="F690">
        <v>10323</v>
      </c>
      <c r="G690">
        <v>5324</v>
      </c>
      <c r="H690" s="9">
        <v>39687</v>
      </c>
    </row>
    <row r="691" spans="6:8">
      <c r="F691">
        <v>10333</v>
      </c>
      <c r="G691">
        <v>5185</v>
      </c>
      <c r="H691" s="9">
        <v>39687</v>
      </c>
    </row>
    <row r="692" spans="6:8">
      <c r="F692">
        <v>10334</v>
      </c>
      <c r="G692">
        <v>5328</v>
      </c>
      <c r="H692" s="9">
        <v>39687</v>
      </c>
    </row>
    <row r="693" spans="6:8">
      <c r="F693">
        <v>10339</v>
      </c>
      <c r="G693">
        <v>4312</v>
      </c>
      <c r="H693" s="9">
        <v>39687</v>
      </c>
    </row>
    <row r="694" spans="6:8">
      <c r="F694">
        <v>10340</v>
      </c>
      <c r="G694">
        <v>4091</v>
      </c>
      <c r="H694" s="9">
        <v>39687</v>
      </c>
    </row>
    <row r="695" spans="6:8">
      <c r="F695">
        <v>10341</v>
      </c>
      <c r="G695">
        <v>4176</v>
      </c>
      <c r="H695" s="9">
        <v>39687</v>
      </c>
    </row>
    <row r="696" spans="6:8">
      <c r="F696">
        <v>10345</v>
      </c>
      <c r="G696">
        <v>4043</v>
      </c>
      <c r="H696" s="9">
        <v>39687</v>
      </c>
    </row>
    <row r="697" spans="6:8">
      <c r="F697">
        <v>10348</v>
      </c>
      <c r="G697">
        <v>5334</v>
      </c>
      <c r="H697" s="9">
        <v>39687</v>
      </c>
    </row>
    <row r="698" spans="6:8">
      <c r="F698">
        <v>10349</v>
      </c>
      <c r="G698">
        <v>5335</v>
      </c>
      <c r="H698" s="9">
        <v>39687</v>
      </c>
    </row>
    <row r="699" spans="6:8">
      <c r="F699">
        <v>10352</v>
      </c>
      <c r="G699">
        <v>5338</v>
      </c>
      <c r="H699" s="9">
        <v>39687</v>
      </c>
    </row>
    <row r="700" spans="6:8">
      <c r="F700">
        <v>10408</v>
      </c>
      <c r="G700">
        <v>4810</v>
      </c>
      <c r="H700" s="9">
        <v>39688</v>
      </c>
    </row>
    <row r="701" spans="6:8">
      <c r="F701">
        <v>10419</v>
      </c>
      <c r="G701">
        <v>3172</v>
      </c>
      <c r="H701" s="9">
        <v>39689</v>
      </c>
    </row>
    <row r="702" spans="6:8">
      <c r="F702">
        <v>10421</v>
      </c>
      <c r="G702">
        <v>5203</v>
      </c>
      <c r="H702" s="9">
        <v>39689</v>
      </c>
    </row>
    <row r="703" spans="6:8">
      <c r="F703">
        <v>10424</v>
      </c>
      <c r="G703">
        <v>5198</v>
      </c>
      <c r="H703" s="9">
        <v>39689</v>
      </c>
    </row>
    <row r="704" spans="6:8">
      <c r="F704">
        <v>10426</v>
      </c>
      <c r="G704">
        <v>5200</v>
      </c>
      <c r="H704" s="9">
        <v>39689</v>
      </c>
    </row>
    <row r="705" spans="6:8">
      <c r="F705">
        <v>10428</v>
      </c>
      <c r="G705">
        <v>3945</v>
      </c>
      <c r="H705" s="9">
        <v>39689</v>
      </c>
    </row>
    <row r="706" spans="6:8">
      <c r="F706">
        <v>10430</v>
      </c>
      <c r="G706">
        <v>5348</v>
      </c>
      <c r="H706" s="9">
        <v>39689</v>
      </c>
    </row>
    <row r="707" spans="6:8">
      <c r="F707">
        <v>10432</v>
      </c>
      <c r="G707">
        <v>5349</v>
      </c>
      <c r="H707" s="9">
        <v>39689</v>
      </c>
    </row>
    <row r="708" spans="6:8">
      <c r="F708">
        <v>10433</v>
      </c>
      <c r="G708">
        <v>5350</v>
      </c>
      <c r="H708" s="9">
        <v>39689</v>
      </c>
    </row>
    <row r="709" spans="6:8">
      <c r="F709">
        <v>10434</v>
      </c>
      <c r="G709">
        <v>5351</v>
      </c>
      <c r="H709" s="9">
        <v>39689</v>
      </c>
    </row>
    <row r="710" spans="6:8">
      <c r="F710">
        <v>10436</v>
      </c>
      <c r="G710">
        <v>5352</v>
      </c>
      <c r="H710" s="9">
        <v>39689</v>
      </c>
    </row>
    <row r="711" spans="6:8">
      <c r="F711">
        <v>10437</v>
      </c>
      <c r="G711">
        <v>5353</v>
      </c>
      <c r="H711" s="9">
        <v>39689</v>
      </c>
    </row>
    <row r="712" spans="6:8">
      <c r="F712">
        <v>10438</v>
      </c>
      <c r="G712">
        <v>5354</v>
      </c>
      <c r="H712" s="9">
        <v>39689</v>
      </c>
    </row>
    <row r="713" spans="6:8">
      <c r="F713">
        <v>10439</v>
      </c>
      <c r="G713">
        <v>5202</v>
      </c>
      <c r="H713" s="9">
        <v>39689</v>
      </c>
    </row>
    <row r="714" spans="6:8">
      <c r="F714">
        <v>10452</v>
      </c>
      <c r="G714">
        <v>5355</v>
      </c>
      <c r="H714" s="9">
        <v>39691</v>
      </c>
    </row>
    <row r="715" spans="6:8">
      <c r="F715">
        <v>10454</v>
      </c>
      <c r="G715">
        <v>5060</v>
      </c>
      <c r="H715" s="9">
        <v>39691</v>
      </c>
    </row>
    <row r="716" spans="6:8">
      <c r="F716">
        <v>10460</v>
      </c>
      <c r="G716">
        <v>5100</v>
      </c>
      <c r="H716" s="9">
        <v>39691</v>
      </c>
    </row>
    <row r="717" spans="6:8">
      <c r="F717">
        <v>10480</v>
      </c>
      <c r="G717">
        <v>5359</v>
      </c>
      <c r="H717" s="9">
        <v>39691</v>
      </c>
    </row>
    <row r="718" spans="6:8">
      <c r="F718">
        <v>10497</v>
      </c>
      <c r="G718">
        <v>5125</v>
      </c>
      <c r="H718" s="9">
        <v>39693</v>
      </c>
    </row>
    <row r="719" spans="6:8">
      <c r="F719">
        <v>10502</v>
      </c>
      <c r="G719">
        <v>5364</v>
      </c>
      <c r="H719" s="9">
        <v>39693</v>
      </c>
    </row>
    <row r="720" spans="6:8">
      <c r="F720">
        <v>10558</v>
      </c>
      <c r="G720">
        <v>5366</v>
      </c>
      <c r="H720" s="9">
        <v>39693</v>
      </c>
    </row>
    <row r="721" spans="6:8">
      <c r="F721">
        <v>10562</v>
      </c>
      <c r="G721">
        <v>4749</v>
      </c>
      <c r="H721" s="9">
        <v>39693</v>
      </c>
    </row>
    <row r="722" spans="6:8">
      <c r="F722">
        <v>10587</v>
      </c>
      <c r="G722">
        <v>286</v>
      </c>
      <c r="H722" s="9">
        <v>39693</v>
      </c>
    </row>
    <row r="723" spans="6:8">
      <c r="F723">
        <v>10601</v>
      </c>
      <c r="G723">
        <v>1132</v>
      </c>
      <c r="H723" s="9">
        <v>39693</v>
      </c>
    </row>
    <row r="724" spans="6:8">
      <c r="F724">
        <v>10615</v>
      </c>
      <c r="G724">
        <v>5368</v>
      </c>
      <c r="H724" s="9">
        <v>39694</v>
      </c>
    </row>
    <row r="725" spans="6:8">
      <c r="F725">
        <v>10634</v>
      </c>
      <c r="G725">
        <v>494</v>
      </c>
      <c r="H725" s="9">
        <v>39694</v>
      </c>
    </row>
    <row r="726" spans="6:8">
      <c r="F726">
        <v>10645</v>
      </c>
      <c r="G726">
        <v>5047</v>
      </c>
      <c r="H726" s="9">
        <v>39694</v>
      </c>
    </row>
    <row r="727" spans="6:8">
      <c r="F727">
        <v>10653</v>
      </c>
      <c r="G727">
        <v>5373</v>
      </c>
      <c r="H727" s="9">
        <v>39694</v>
      </c>
    </row>
    <row r="728" spans="6:8">
      <c r="F728">
        <v>10663</v>
      </c>
      <c r="G728">
        <v>5390</v>
      </c>
      <c r="H728" s="9">
        <v>39694</v>
      </c>
    </row>
    <row r="729" spans="6:8">
      <c r="F729">
        <v>10666</v>
      </c>
      <c r="G729">
        <v>4338</v>
      </c>
      <c r="H729" s="9">
        <v>39694</v>
      </c>
    </row>
    <row r="730" spans="6:8">
      <c r="F730">
        <v>10671</v>
      </c>
      <c r="G730">
        <v>4711</v>
      </c>
      <c r="H730" s="9">
        <v>39694</v>
      </c>
    </row>
    <row r="731" spans="6:8">
      <c r="F731">
        <v>10701</v>
      </c>
      <c r="G731">
        <v>596</v>
      </c>
      <c r="H731" s="9">
        <v>39694</v>
      </c>
    </row>
    <row r="732" spans="6:8">
      <c r="F732">
        <v>10778</v>
      </c>
      <c r="G732">
        <v>5399</v>
      </c>
      <c r="H732" s="9">
        <v>39696</v>
      </c>
    </row>
    <row r="733" spans="6:8">
      <c r="F733">
        <v>10779</v>
      </c>
      <c r="G733">
        <v>5400</v>
      </c>
      <c r="H733" s="9">
        <v>39696</v>
      </c>
    </row>
    <row r="734" spans="6:8">
      <c r="F734">
        <v>10781</v>
      </c>
      <c r="G734">
        <v>5356</v>
      </c>
      <c r="H734" s="9">
        <v>39696</v>
      </c>
    </row>
    <row r="735" spans="6:8">
      <c r="F735">
        <v>10783</v>
      </c>
      <c r="G735">
        <v>5180</v>
      </c>
      <c r="H735" s="9">
        <v>39696</v>
      </c>
    </row>
    <row r="736" spans="6:8">
      <c r="F736">
        <v>10790</v>
      </c>
      <c r="G736">
        <v>3138</v>
      </c>
      <c r="H736" s="9">
        <v>39696</v>
      </c>
    </row>
    <row r="737" spans="6:8">
      <c r="F737">
        <v>10795</v>
      </c>
      <c r="G737">
        <v>5404</v>
      </c>
      <c r="H737" s="9">
        <v>39696</v>
      </c>
    </row>
    <row r="738" spans="6:8">
      <c r="F738">
        <v>10797</v>
      </c>
      <c r="G738">
        <v>5405</v>
      </c>
      <c r="H738" s="9">
        <v>39696</v>
      </c>
    </row>
    <row r="739" spans="6:8">
      <c r="F739">
        <v>10799</v>
      </c>
      <c r="G739">
        <v>3220</v>
      </c>
      <c r="H739" s="9">
        <v>39696</v>
      </c>
    </row>
    <row r="740" spans="6:8">
      <c r="F740">
        <v>10805</v>
      </c>
      <c r="G740">
        <v>3084</v>
      </c>
      <c r="H740" s="9">
        <v>39696</v>
      </c>
    </row>
    <row r="741" spans="6:8">
      <c r="F741">
        <v>10842</v>
      </c>
      <c r="G741">
        <v>5409</v>
      </c>
      <c r="H741" s="9">
        <v>39701</v>
      </c>
    </row>
    <row r="742" spans="6:8">
      <c r="F742">
        <v>10848</v>
      </c>
      <c r="G742">
        <v>5411</v>
      </c>
      <c r="H742" s="9">
        <v>39701</v>
      </c>
    </row>
    <row r="743" spans="6:8">
      <c r="F743">
        <v>10850</v>
      </c>
      <c r="G743">
        <v>5412</v>
      </c>
      <c r="H743" s="9">
        <v>39701</v>
      </c>
    </row>
    <row r="744" spans="6:8">
      <c r="F744">
        <v>10858</v>
      </c>
      <c r="G744">
        <v>973</v>
      </c>
      <c r="H744" s="9">
        <v>39701</v>
      </c>
    </row>
    <row r="745" spans="6:8">
      <c r="F745">
        <v>10859</v>
      </c>
      <c r="G745">
        <v>449</v>
      </c>
      <c r="H745" s="9">
        <v>39701</v>
      </c>
    </row>
    <row r="746" spans="6:8">
      <c r="F746">
        <v>10863</v>
      </c>
      <c r="G746">
        <v>1503</v>
      </c>
      <c r="H746" s="9">
        <v>39701</v>
      </c>
    </row>
    <row r="747" spans="6:8">
      <c r="F747">
        <v>10874</v>
      </c>
      <c r="G747">
        <v>1446</v>
      </c>
      <c r="H747" s="9">
        <v>39701</v>
      </c>
    </row>
    <row r="748" spans="6:8">
      <c r="F748">
        <v>10877</v>
      </c>
      <c r="G748">
        <v>54</v>
      </c>
      <c r="H748" s="9">
        <v>39701</v>
      </c>
    </row>
    <row r="749" spans="6:8">
      <c r="F749">
        <v>10894</v>
      </c>
      <c r="G749">
        <v>3065</v>
      </c>
      <c r="H749" s="9">
        <v>39701</v>
      </c>
    </row>
    <row r="750" spans="6:8">
      <c r="F750">
        <v>10898</v>
      </c>
      <c r="G750">
        <v>5414</v>
      </c>
      <c r="H750" s="9">
        <v>39701</v>
      </c>
    </row>
    <row r="751" spans="6:8">
      <c r="F751">
        <v>10910</v>
      </c>
      <c r="G751">
        <v>3755</v>
      </c>
      <c r="H751" s="9">
        <v>39701</v>
      </c>
    </row>
    <row r="752" spans="6:8">
      <c r="F752">
        <v>10912</v>
      </c>
      <c r="G752">
        <v>5423</v>
      </c>
      <c r="H752" s="9">
        <v>39702</v>
      </c>
    </row>
    <row r="753" spans="6:8">
      <c r="F753">
        <v>10913</v>
      </c>
      <c r="G753">
        <v>4093</v>
      </c>
      <c r="H753" s="9">
        <v>39702</v>
      </c>
    </row>
    <row r="754" spans="6:8">
      <c r="F754">
        <v>10915</v>
      </c>
      <c r="G754">
        <v>5424</v>
      </c>
      <c r="H754" s="9">
        <v>39702</v>
      </c>
    </row>
    <row r="755" spans="6:8">
      <c r="F755">
        <v>10916</v>
      </c>
      <c r="G755">
        <v>5425</v>
      </c>
      <c r="H755" s="9">
        <v>39702</v>
      </c>
    </row>
    <row r="756" spans="6:8">
      <c r="F756">
        <v>10917</v>
      </c>
      <c r="G756">
        <v>5426</v>
      </c>
      <c r="H756" s="9">
        <v>39702</v>
      </c>
    </row>
    <row r="757" spans="6:8">
      <c r="F757">
        <v>10918</v>
      </c>
      <c r="G757">
        <v>4109</v>
      </c>
      <c r="H757" s="9">
        <v>39702</v>
      </c>
    </row>
    <row r="758" spans="6:8">
      <c r="F758">
        <v>10919</v>
      </c>
      <c r="G758">
        <v>5427</v>
      </c>
      <c r="H758" s="9">
        <v>39702</v>
      </c>
    </row>
    <row r="759" spans="6:8">
      <c r="F759">
        <v>10921</v>
      </c>
      <c r="G759">
        <v>5429</v>
      </c>
      <c r="H759" s="9">
        <v>39702</v>
      </c>
    </row>
    <row r="760" spans="6:8">
      <c r="F760">
        <v>10922</v>
      </c>
      <c r="G760">
        <v>4847</v>
      </c>
      <c r="H760" s="9">
        <v>39702</v>
      </c>
    </row>
    <row r="761" spans="6:8">
      <c r="F761">
        <v>10924</v>
      </c>
      <c r="G761">
        <v>5431</v>
      </c>
      <c r="H761" s="9">
        <v>39702</v>
      </c>
    </row>
    <row r="762" spans="6:8">
      <c r="F762">
        <v>10951</v>
      </c>
      <c r="G762">
        <v>1631</v>
      </c>
      <c r="H762" s="9">
        <v>39703</v>
      </c>
    </row>
    <row r="763" spans="6:8">
      <c r="F763">
        <v>10978</v>
      </c>
      <c r="G763">
        <v>5437</v>
      </c>
      <c r="H763" s="9">
        <v>39703</v>
      </c>
    </row>
    <row r="764" spans="6:8">
      <c r="F764">
        <v>10990</v>
      </c>
      <c r="G764">
        <v>5438</v>
      </c>
      <c r="H764" s="9">
        <v>39703</v>
      </c>
    </row>
    <row r="765" spans="6:8">
      <c r="F765">
        <v>10992</v>
      </c>
      <c r="G765">
        <v>5440</v>
      </c>
      <c r="H765" s="9">
        <v>39703</v>
      </c>
    </row>
    <row r="766" spans="6:8">
      <c r="F766">
        <v>11009</v>
      </c>
      <c r="G766">
        <v>5452</v>
      </c>
      <c r="H766" s="9">
        <v>39702</v>
      </c>
    </row>
    <row r="767" spans="6:8">
      <c r="F767">
        <v>11022</v>
      </c>
      <c r="G767">
        <v>4652</v>
      </c>
      <c r="H767" s="9">
        <v>39702</v>
      </c>
    </row>
    <row r="768" spans="6:8">
      <c r="F768">
        <v>11026</v>
      </c>
      <c r="G768">
        <v>2780</v>
      </c>
      <c r="H768" s="9">
        <v>39702</v>
      </c>
    </row>
    <row r="769" spans="6:8">
      <c r="F769">
        <v>11031</v>
      </c>
      <c r="G769">
        <v>5461</v>
      </c>
      <c r="H769" s="9">
        <v>39703</v>
      </c>
    </row>
    <row r="770" spans="6:8">
      <c r="F770">
        <v>11034</v>
      </c>
      <c r="G770">
        <v>5165</v>
      </c>
      <c r="H770" s="9">
        <v>39703</v>
      </c>
    </row>
    <row r="771" spans="6:8">
      <c r="F771">
        <v>11037</v>
      </c>
      <c r="G771">
        <v>3233</v>
      </c>
      <c r="H771" s="9">
        <v>39703</v>
      </c>
    </row>
    <row r="772" spans="6:8">
      <c r="F772">
        <v>11038</v>
      </c>
      <c r="G772">
        <v>3233</v>
      </c>
      <c r="H772" s="9">
        <v>39703</v>
      </c>
    </row>
    <row r="773" spans="6:8">
      <c r="F773">
        <v>11046</v>
      </c>
      <c r="G773">
        <v>5090</v>
      </c>
      <c r="H773" s="9">
        <v>39703</v>
      </c>
    </row>
    <row r="774" spans="6:8">
      <c r="F774">
        <v>11050</v>
      </c>
      <c r="G774">
        <v>5466</v>
      </c>
      <c r="H774" s="9">
        <v>39703</v>
      </c>
    </row>
    <row r="775" spans="6:8">
      <c r="F775">
        <v>11061</v>
      </c>
      <c r="G775">
        <v>5472</v>
      </c>
      <c r="H775" s="9">
        <v>39704</v>
      </c>
    </row>
    <row r="776" spans="6:8">
      <c r="F776">
        <v>11062</v>
      </c>
      <c r="G776">
        <v>4253</v>
      </c>
      <c r="H776" s="9">
        <v>39703</v>
      </c>
    </row>
    <row r="777" spans="6:8">
      <c r="F777">
        <v>11063</v>
      </c>
      <c r="G777">
        <v>5473</v>
      </c>
      <c r="H777" s="9">
        <v>39703</v>
      </c>
    </row>
    <row r="778" spans="6:8">
      <c r="F778">
        <v>11064</v>
      </c>
      <c r="G778">
        <v>5087</v>
      </c>
      <c r="H778" s="9">
        <v>39703</v>
      </c>
    </row>
    <row r="779" spans="6:8">
      <c r="F779">
        <v>11066</v>
      </c>
      <c r="G779">
        <v>5474</v>
      </c>
      <c r="H779" s="9">
        <v>39703</v>
      </c>
    </row>
    <row r="780" spans="6:8">
      <c r="F780">
        <v>11067</v>
      </c>
      <c r="G780">
        <v>5331</v>
      </c>
      <c r="H780" s="9">
        <v>39703</v>
      </c>
    </row>
    <row r="781" spans="6:8">
      <c r="F781">
        <v>11068</v>
      </c>
      <c r="G781">
        <v>5346</v>
      </c>
      <c r="H781" s="9">
        <v>39703</v>
      </c>
    </row>
    <row r="782" spans="6:8">
      <c r="F782">
        <v>11069</v>
      </c>
      <c r="G782">
        <v>5475</v>
      </c>
      <c r="H782" s="9">
        <v>39703</v>
      </c>
    </row>
    <row r="783" spans="6:8">
      <c r="F783">
        <v>11080</v>
      </c>
      <c r="G783">
        <v>5483</v>
      </c>
      <c r="H783" s="9">
        <v>39703</v>
      </c>
    </row>
    <row r="784" spans="6:8">
      <c r="F784">
        <v>11118</v>
      </c>
      <c r="G784">
        <v>5491</v>
      </c>
      <c r="H784" s="9">
        <v>39705</v>
      </c>
    </row>
    <row r="785" spans="6:8">
      <c r="F785">
        <v>11123</v>
      </c>
      <c r="G785">
        <v>4976</v>
      </c>
      <c r="H785" s="9">
        <v>39705</v>
      </c>
    </row>
    <row r="786" spans="6:8">
      <c r="F786">
        <v>11124</v>
      </c>
      <c r="G786">
        <v>5493</v>
      </c>
      <c r="H786" s="9">
        <v>39705</v>
      </c>
    </row>
    <row r="787" spans="6:8">
      <c r="F787">
        <v>11126</v>
      </c>
      <c r="G787">
        <v>624</v>
      </c>
      <c r="H787" s="9">
        <v>39705</v>
      </c>
    </row>
    <row r="788" spans="6:8">
      <c r="F788">
        <v>11177</v>
      </c>
      <c r="G788">
        <v>5506</v>
      </c>
      <c r="H788" s="9">
        <v>39708</v>
      </c>
    </row>
    <row r="789" spans="6:8">
      <c r="F789">
        <v>11204</v>
      </c>
      <c r="G789">
        <v>5510</v>
      </c>
      <c r="H789" s="9">
        <v>39709</v>
      </c>
    </row>
    <row r="790" spans="6:8">
      <c r="F790">
        <v>11205</v>
      </c>
      <c r="G790">
        <v>5511</v>
      </c>
      <c r="H790" s="9">
        <v>39709</v>
      </c>
    </row>
    <row r="791" spans="6:8">
      <c r="F791">
        <v>11209</v>
      </c>
      <c r="G791">
        <v>5516</v>
      </c>
      <c r="H791" s="9">
        <v>39709</v>
      </c>
    </row>
    <row r="792" spans="6:8">
      <c r="F792">
        <v>11210</v>
      </c>
      <c r="G792">
        <v>5517</v>
      </c>
      <c r="H792" s="9">
        <v>39709</v>
      </c>
    </row>
    <row r="793" spans="6:8">
      <c r="F793">
        <v>11211</v>
      </c>
      <c r="G793">
        <v>4379</v>
      </c>
      <c r="H793" s="9">
        <v>39709</v>
      </c>
    </row>
    <row r="794" spans="6:8">
      <c r="F794">
        <v>11212</v>
      </c>
      <c r="G794">
        <v>5132</v>
      </c>
      <c r="H794" s="9">
        <v>39709</v>
      </c>
    </row>
    <row r="795" spans="6:8">
      <c r="F795">
        <v>11213</v>
      </c>
      <c r="G795">
        <v>5416</v>
      </c>
      <c r="H795" s="9">
        <v>39709</v>
      </c>
    </row>
    <row r="796" spans="6:8">
      <c r="F796">
        <v>11214</v>
      </c>
      <c r="G796">
        <v>5363</v>
      </c>
      <c r="H796" s="9">
        <v>39709</v>
      </c>
    </row>
    <row r="797" spans="6:8">
      <c r="F797">
        <v>11217</v>
      </c>
      <c r="G797">
        <v>5415</v>
      </c>
      <c r="H797" s="9">
        <v>39709</v>
      </c>
    </row>
    <row r="798" spans="6:8">
      <c r="F798">
        <v>11218</v>
      </c>
      <c r="G798">
        <v>5115</v>
      </c>
      <c r="H798" s="9">
        <v>39709</v>
      </c>
    </row>
    <row r="799" spans="6:8">
      <c r="F799">
        <v>11238</v>
      </c>
      <c r="G799">
        <v>3846</v>
      </c>
      <c r="H799" s="9">
        <v>39709</v>
      </c>
    </row>
    <row r="800" spans="6:8">
      <c r="F800">
        <v>11299</v>
      </c>
      <c r="G800">
        <v>5532</v>
      </c>
      <c r="H800" s="9">
        <v>40109</v>
      </c>
    </row>
    <row r="801" spans="6:8">
      <c r="F801">
        <v>11327</v>
      </c>
      <c r="G801">
        <v>3180</v>
      </c>
      <c r="H801" s="9">
        <v>39711</v>
      </c>
    </row>
    <row r="802" spans="6:8">
      <c r="F802">
        <v>11328</v>
      </c>
      <c r="G802">
        <v>5539</v>
      </c>
      <c r="H802" s="9">
        <v>39710</v>
      </c>
    </row>
    <row r="803" spans="6:8">
      <c r="F803">
        <v>11333</v>
      </c>
      <c r="G803">
        <v>5540</v>
      </c>
      <c r="H803" s="9">
        <v>39710</v>
      </c>
    </row>
    <row r="804" spans="6:8">
      <c r="F804">
        <v>11383</v>
      </c>
      <c r="G804">
        <v>5542</v>
      </c>
      <c r="H804" s="9">
        <v>39711</v>
      </c>
    </row>
    <row r="805" spans="6:8">
      <c r="F805">
        <v>11437</v>
      </c>
      <c r="G805">
        <v>3180</v>
      </c>
      <c r="H805" s="9">
        <v>39711</v>
      </c>
    </row>
    <row r="806" spans="6:8">
      <c r="F806">
        <v>11464</v>
      </c>
      <c r="G806">
        <v>5042</v>
      </c>
      <c r="H806" s="9">
        <v>39711</v>
      </c>
    </row>
    <row r="807" spans="6:8">
      <c r="F807">
        <v>11470</v>
      </c>
      <c r="G807">
        <v>5559</v>
      </c>
      <c r="H807" s="9">
        <v>39711</v>
      </c>
    </row>
    <row r="808" spans="6:8">
      <c r="F808">
        <v>11505</v>
      </c>
      <c r="G808">
        <v>2323</v>
      </c>
      <c r="H808" s="9">
        <v>39714</v>
      </c>
    </row>
    <row r="809" spans="6:8">
      <c r="F809">
        <v>11551</v>
      </c>
      <c r="G809">
        <v>5568</v>
      </c>
      <c r="H809" s="9">
        <v>39715</v>
      </c>
    </row>
    <row r="810" spans="6:8">
      <c r="F810">
        <v>11559</v>
      </c>
      <c r="G810">
        <v>3179</v>
      </c>
      <c r="H810" s="9">
        <v>39715</v>
      </c>
    </row>
    <row r="811" spans="6:8">
      <c r="F811">
        <v>11562</v>
      </c>
      <c r="G811">
        <v>5066</v>
      </c>
      <c r="H811" s="9">
        <v>39715</v>
      </c>
    </row>
    <row r="812" spans="6:8">
      <c r="F812">
        <v>11566</v>
      </c>
      <c r="G812">
        <v>5168</v>
      </c>
      <c r="H812" s="9">
        <v>39715</v>
      </c>
    </row>
    <row r="813" spans="6:8">
      <c r="F813">
        <v>11597</v>
      </c>
      <c r="G813">
        <v>1302</v>
      </c>
      <c r="H813" s="9">
        <v>39716</v>
      </c>
    </row>
    <row r="814" spans="6:8">
      <c r="F814">
        <v>11601</v>
      </c>
      <c r="G814">
        <v>2284</v>
      </c>
      <c r="H814" s="9">
        <v>39716</v>
      </c>
    </row>
    <row r="815" spans="6:8">
      <c r="F815">
        <v>11630</v>
      </c>
      <c r="G815">
        <v>4039</v>
      </c>
      <c r="H815" s="9">
        <v>39716</v>
      </c>
    </row>
    <row r="816" spans="6:8">
      <c r="F816">
        <v>11632</v>
      </c>
      <c r="G816">
        <v>5584</v>
      </c>
      <c r="H816" s="9">
        <v>39716</v>
      </c>
    </row>
    <row r="817" spans="6:8">
      <c r="F817">
        <v>11634</v>
      </c>
      <c r="G817">
        <v>5311</v>
      </c>
      <c r="H817" s="9">
        <v>39716</v>
      </c>
    </row>
    <row r="818" spans="6:8">
      <c r="F818">
        <v>11635</v>
      </c>
      <c r="G818">
        <v>5048</v>
      </c>
      <c r="H818" s="9">
        <v>39716</v>
      </c>
    </row>
    <row r="819" spans="6:8">
      <c r="F819">
        <v>11644</v>
      </c>
      <c r="G819">
        <v>595</v>
      </c>
      <c r="H819" s="9">
        <v>39717</v>
      </c>
    </row>
    <row r="820" spans="6:8">
      <c r="F820">
        <v>11690</v>
      </c>
      <c r="G820">
        <v>3099</v>
      </c>
      <c r="H820" s="9">
        <v>39717</v>
      </c>
    </row>
    <row r="821" spans="6:8">
      <c r="F821">
        <v>11702</v>
      </c>
      <c r="G821">
        <v>100</v>
      </c>
      <c r="H821" s="9">
        <v>39717</v>
      </c>
    </row>
    <row r="822" spans="6:8">
      <c r="F822">
        <v>11728</v>
      </c>
      <c r="G822">
        <v>3161</v>
      </c>
      <c r="H822" s="9">
        <v>39723</v>
      </c>
    </row>
    <row r="823" spans="6:8">
      <c r="F823">
        <v>11731</v>
      </c>
      <c r="G823">
        <v>3666</v>
      </c>
      <c r="H823" s="9">
        <v>39723</v>
      </c>
    </row>
    <row r="824" spans="6:8">
      <c r="F824">
        <v>11734</v>
      </c>
      <c r="G824">
        <v>5589</v>
      </c>
      <c r="H824" s="9">
        <v>39723</v>
      </c>
    </row>
    <row r="825" spans="6:8">
      <c r="F825">
        <v>11741</v>
      </c>
      <c r="G825">
        <v>5593</v>
      </c>
      <c r="H825" s="9">
        <v>39723</v>
      </c>
    </row>
    <row r="826" spans="6:8">
      <c r="F826">
        <v>11742</v>
      </c>
      <c r="G826">
        <v>5294</v>
      </c>
      <c r="H826" s="9">
        <v>39723</v>
      </c>
    </row>
    <row r="827" spans="6:8">
      <c r="F827">
        <v>11764</v>
      </c>
      <c r="G827">
        <v>5053</v>
      </c>
      <c r="H827" s="9">
        <v>39723</v>
      </c>
    </row>
    <row r="828" spans="6:8">
      <c r="F828">
        <v>11766</v>
      </c>
      <c r="G828">
        <v>5103</v>
      </c>
      <c r="H828" s="9">
        <v>39723</v>
      </c>
    </row>
    <row r="829" spans="6:8">
      <c r="F829">
        <v>11814</v>
      </c>
      <c r="G829">
        <v>2961</v>
      </c>
      <c r="H829" s="9">
        <v>39724</v>
      </c>
    </row>
    <row r="830" spans="6:8">
      <c r="F830">
        <v>11826</v>
      </c>
      <c r="G830">
        <v>4144</v>
      </c>
      <c r="H830" s="9">
        <v>39724</v>
      </c>
    </row>
    <row r="831" spans="6:8">
      <c r="F831">
        <v>11874</v>
      </c>
      <c r="G831">
        <v>2810</v>
      </c>
      <c r="H831" s="9">
        <v>39729</v>
      </c>
    </row>
    <row r="832" spans="6:8">
      <c r="F832">
        <v>11881</v>
      </c>
      <c r="G832">
        <v>2737</v>
      </c>
      <c r="H832" s="9">
        <v>39729</v>
      </c>
    </row>
    <row r="833" spans="6:8">
      <c r="F833">
        <v>11908</v>
      </c>
      <c r="G833">
        <v>898</v>
      </c>
      <c r="H833" s="9">
        <v>39729</v>
      </c>
    </row>
    <row r="834" spans="6:8">
      <c r="F834">
        <v>11933</v>
      </c>
      <c r="G834">
        <v>5624</v>
      </c>
      <c r="H834" s="9">
        <v>39729</v>
      </c>
    </row>
    <row r="835" spans="6:8">
      <c r="F835">
        <v>11973</v>
      </c>
      <c r="G835">
        <v>2150</v>
      </c>
      <c r="H835" s="9">
        <v>39730</v>
      </c>
    </row>
    <row r="836" spans="6:8">
      <c r="F836">
        <v>12038</v>
      </c>
      <c r="G836">
        <v>2275</v>
      </c>
      <c r="H836" s="9">
        <v>39731</v>
      </c>
    </row>
    <row r="837" spans="6:8">
      <c r="F837">
        <v>12075</v>
      </c>
      <c r="G837">
        <v>5325</v>
      </c>
      <c r="H837" s="9">
        <v>39731</v>
      </c>
    </row>
    <row r="838" spans="6:8">
      <c r="F838">
        <v>12117</v>
      </c>
      <c r="G838">
        <v>4079</v>
      </c>
      <c r="H838" s="9">
        <v>39732</v>
      </c>
    </row>
    <row r="839" spans="6:8">
      <c r="F839">
        <v>12123</v>
      </c>
      <c r="G839">
        <v>5642</v>
      </c>
      <c r="H839" s="9">
        <v>39732</v>
      </c>
    </row>
    <row r="840" spans="6:8">
      <c r="F840">
        <v>12137</v>
      </c>
      <c r="G840">
        <v>5467</v>
      </c>
      <c r="H840" s="9">
        <v>39732</v>
      </c>
    </row>
    <row r="841" spans="6:8">
      <c r="F841">
        <v>12270</v>
      </c>
      <c r="G841">
        <v>5648</v>
      </c>
      <c r="H841" s="9">
        <v>39735</v>
      </c>
    </row>
    <row r="842" spans="6:8">
      <c r="F842">
        <v>12275</v>
      </c>
      <c r="G842">
        <v>5650</v>
      </c>
      <c r="H842" s="9">
        <v>39735</v>
      </c>
    </row>
    <row r="843" spans="6:8">
      <c r="F843">
        <v>12297</v>
      </c>
      <c r="G843">
        <v>5656</v>
      </c>
      <c r="H843" s="9">
        <v>39735</v>
      </c>
    </row>
    <row r="844" spans="6:8">
      <c r="F844">
        <v>12304</v>
      </c>
      <c r="G844">
        <v>5658</v>
      </c>
      <c r="H844" s="9">
        <v>39735</v>
      </c>
    </row>
    <row r="845" spans="6:8">
      <c r="F845">
        <v>12307</v>
      </c>
      <c r="G845">
        <v>4185</v>
      </c>
      <c r="H845" s="9">
        <v>39735</v>
      </c>
    </row>
    <row r="846" spans="6:8">
      <c r="F846">
        <v>12327</v>
      </c>
      <c r="G846">
        <v>2824</v>
      </c>
      <c r="H846" s="9">
        <v>39737</v>
      </c>
    </row>
    <row r="847" spans="6:8">
      <c r="F847">
        <v>12342</v>
      </c>
      <c r="G847">
        <v>4401</v>
      </c>
      <c r="H847" s="9">
        <v>39737</v>
      </c>
    </row>
    <row r="848" spans="6:8">
      <c r="F848">
        <v>12345</v>
      </c>
      <c r="G848">
        <v>5665</v>
      </c>
      <c r="H848" s="9">
        <v>39737</v>
      </c>
    </row>
    <row r="849" spans="6:8">
      <c r="F849">
        <v>12347</v>
      </c>
      <c r="G849">
        <v>5666</v>
      </c>
      <c r="H849" s="9">
        <v>39737</v>
      </c>
    </row>
    <row r="850" spans="6:8">
      <c r="F850">
        <v>12348</v>
      </c>
      <c r="G850">
        <v>5667</v>
      </c>
      <c r="H850" s="9">
        <v>39737</v>
      </c>
    </row>
    <row r="851" spans="6:8">
      <c r="F851">
        <v>12349</v>
      </c>
      <c r="G851">
        <v>5668</v>
      </c>
      <c r="H851" s="9">
        <v>39737</v>
      </c>
    </row>
    <row r="852" spans="6:8">
      <c r="F852">
        <v>12351</v>
      </c>
      <c r="G852">
        <v>5512</v>
      </c>
      <c r="H852" s="9">
        <v>39737</v>
      </c>
    </row>
    <row r="853" spans="6:8">
      <c r="F853">
        <v>12352</v>
      </c>
      <c r="G853">
        <v>4378</v>
      </c>
      <c r="H853" s="9">
        <v>39737</v>
      </c>
    </row>
    <row r="854" spans="6:8">
      <c r="F854">
        <v>12353</v>
      </c>
      <c r="G854">
        <v>5669</v>
      </c>
      <c r="H854" s="9">
        <v>39737</v>
      </c>
    </row>
    <row r="855" spans="6:8">
      <c r="F855">
        <v>12354</v>
      </c>
      <c r="G855">
        <v>5670</v>
      </c>
      <c r="H855" s="9">
        <v>39737</v>
      </c>
    </row>
    <row r="856" spans="6:8">
      <c r="F856">
        <v>12356</v>
      </c>
      <c r="G856">
        <v>5672</v>
      </c>
      <c r="H856" s="9">
        <v>39737</v>
      </c>
    </row>
    <row r="857" spans="6:8">
      <c r="F857">
        <v>12360</v>
      </c>
      <c r="G857">
        <v>5677</v>
      </c>
      <c r="H857" s="9">
        <v>39737</v>
      </c>
    </row>
    <row r="858" spans="6:8">
      <c r="F858">
        <v>12362</v>
      </c>
      <c r="G858">
        <v>5678</v>
      </c>
      <c r="H858" s="9">
        <v>39737</v>
      </c>
    </row>
    <row r="859" spans="6:8">
      <c r="F859">
        <v>12364</v>
      </c>
      <c r="G859">
        <v>4218</v>
      </c>
      <c r="H859" s="9">
        <v>39737</v>
      </c>
    </row>
    <row r="860" spans="6:8">
      <c r="F860">
        <v>12365</v>
      </c>
      <c r="G860">
        <v>5679</v>
      </c>
      <c r="H860" s="9">
        <v>39737</v>
      </c>
    </row>
    <row r="861" spans="6:8">
      <c r="F861">
        <v>12366</v>
      </c>
      <c r="G861">
        <v>5680</v>
      </c>
      <c r="H861" s="9">
        <v>39737</v>
      </c>
    </row>
    <row r="862" spans="6:8">
      <c r="F862">
        <v>12367</v>
      </c>
      <c r="G862">
        <v>4005</v>
      </c>
      <c r="H862" s="9">
        <v>39737</v>
      </c>
    </row>
    <row r="863" spans="6:8">
      <c r="F863">
        <v>12388</v>
      </c>
      <c r="G863">
        <v>5682</v>
      </c>
      <c r="H863" s="9">
        <v>39758</v>
      </c>
    </row>
    <row r="864" spans="6:8">
      <c r="F864">
        <v>12390</v>
      </c>
      <c r="G864">
        <v>4459</v>
      </c>
      <c r="H864" s="9">
        <v>39758</v>
      </c>
    </row>
    <row r="865" spans="6:8">
      <c r="F865">
        <v>12392</v>
      </c>
      <c r="G865">
        <v>4188</v>
      </c>
      <c r="H865" s="9">
        <v>39757</v>
      </c>
    </row>
    <row r="866" spans="6:8">
      <c r="F866">
        <v>12405</v>
      </c>
      <c r="G866">
        <v>4743</v>
      </c>
      <c r="H866" s="9">
        <v>39757</v>
      </c>
    </row>
    <row r="867" spans="6:8">
      <c r="F867">
        <v>12406</v>
      </c>
      <c r="G867">
        <v>5684</v>
      </c>
      <c r="H867" s="9">
        <v>39757</v>
      </c>
    </row>
    <row r="868" spans="6:8">
      <c r="F868">
        <v>12410</v>
      </c>
      <c r="G868">
        <v>5685</v>
      </c>
      <c r="H868" s="9">
        <v>39757</v>
      </c>
    </row>
    <row r="869" spans="6:8">
      <c r="F869">
        <v>12421</v>
      </c>
      <c r="G869">
        <v>5688</v>
      </c>
      <c r="H869" s="9">
        <v>39757</v>
      </c>
    </row>
    <row r="870" spans="6:8">
      <c r="F870">
        <v>12423</v>
      </c>
      <c r="G870">
        <v>5038</v>
      </c>
      <c r="H870" s="9">
        <v>39750</v>
      </c>
    </row>
    <row r="871" spans="6:8">
      <c r="F871">
        <v>12425</v>
      </c>
      <c r="G871">
        <v>5039</v>
      </c>
      <c r="H871" s="9">
        <v>39750</v>
      </c>
    </row>
    <row r="872" spans="6:8">
      <c r="F872">
        <v>12429</v>
      </c>
      <c r="G872">
        <v>5166</v>
      </c>
      <c r="H872" s="9">
        <v>39750</v>
      </c>
    </row>
    <row r="873" spans="6:8">
      <c r="F873">
        <v>12434</v>
      </c>
      <c r="G873">
        <v>3238</v>
      </c>
      <c r="H873" s="9">
        <v>39759</v>
      </c>
    </row>
    <row r="874" spans="6:8">
      <c r="F874">
        <v>12435</v>
      </c>
      <c r="G874">
        <v>5257</v>
      </c>
      <c r="H874" s="9">
        <v>39759</v>
      </c>
    </row>
    <row r="875" spans="6:8">
      <c r="F875">
        <v>12437</v>
      </c>
      <c r="G875">
        <v>5126</v>
      </c>
      <c r="H875" s="9">
        <v>39759</v>
      </c>
    </row>
    <row r="876" spans="6:8">
      <c r="F876">
        <v>12442</v>
      </c>
      <c r="G876">
        <v>4979</v>
      </c>
      <c r="H876" s="9">
        <v>39759</v>
      </c>
    </row>
    <row r="877" spans="6:8">
      <c r="F877">
        <v>12452</v>
      </c>
      <c r="G877">
        <v>5070</v>
      </c>
      <c r="H877" s="9">
        <v>39760</v>
      </c>
    </row>
    <row r="878" spans="6:8">
      <c r="F878">
        <v>12453</v>
      </c>
      <c r="G878">
        <v>5558</v>
      </c>
      <c r="H878" s="9">
        <v>39760</v>
      </c>
    </row>
    <row r="879" spans="6:8">
      <c r="F879">
        <v>12454</v>
      </c>
      <c r="G879">
        <v>5034</v>
      </c>
      <c r="H879" s="9">
        <v>39760</v>
      </c>
    </row>
    <row r="880" spans="6:8">
      <c r="F880">
        <v>12457</v>
      </c>
      <c r="G880">
        <v>5075</v>
      </c>
      <c r="H880" s="9">
        <v>39745</v>
      </c>
    </row>
    <row r="881" spans="6:8">
      <c r="F881">
        <v>12461</v>
      </c>
      <c r="G881">
        <v>5116</v>
      </c>
      <c r="H881" s="9">
        <v>39745</v>
      </c>
    </row>
    <row r="882" spans="6:8">
      <c r="F882">
        <v>12462</v>
      </c>
      <c r="G882">
        <v>3239</v>
      </c>
      <c r="H882" s="9">
        <v>39745</v>
      </c>
    </row>
    <row r="883" spans="6:8">
      <c r="F883">
        <v>12466</v>
      </c>
      <c r="G883">
        <v>5649</v>
      </c>
      <c r="H883" s="9">
        <v>39745</v>
      </c>
    </row>
    <row r="884" spans="6:8">
      <c r="F884">
        <v>12471</v>
      </c>
      <c r="G884">
        <v>5329</v>
      </c>
      <c r="H884" s="9">
        <v>39759</v>
      </c>
    </row>
    <row r="885" spans="6:8">
      <c r="F885">
        <v>12472</v>
      </c>
      <c r="G885">
        <v>5086</v>
      </c>
      <c r="H885" s="9">
        <v>39759</v>
      </c>
    </row>
    <row r="886" spans="6:8">
      <c r="F886">
        <v>12473</v>
      </c>
      <c r="G886">
        <v>5209</v>
      </c>
      <c r="H886" s="9">
        <v>39759</v>
      </c>
    </row>
    <row r="887" spans="6:8">
      <c r="F887">
        <v>12474</v>
      </c>
      <c r="G887">
        <v>5721</v>
      </c>
      <c r="H887" s="9">
        <v>39759</v>
      </c>
    </row>
    <row r="888" spans="6:8">
      <c r="F888">
        <v>12475</v>
      </c>
      <c r="G888">
        <v>5674</v>
      </c>
      <c r="H888" s="9">
        <v>39759</v>
      </c>
    </row>
    <row r="889" spans="6:8">
      <c r="F889">
        <v>12476</v>
      </c>
      <c r="G889">
        <v>4073</v>
      </c>
      <c r="H889" s="9">
        <v>39759</v>
      </c>
    </row>
    <row r="890" spans="6:8">
      <c r="F890">
        <v>12477</v>
      </c>
      <c r="G890">
        <v>5330</v>
      </c>
      <c r="H890" s="9">
        <v>39759</v>
      </c>
    </row>
    <row r="891" spans="6:8">
      <c r="F891">
        <v>12478</v>
      </c>
      <c r="G891">
        <v>5722</v>
      </c>
      <c r="H891" s="9">
        <v>39759</v>
      </c>
    </row>
    <row r="892" spans="6:8">
      <c r="F892">
        <v>12479</v>
      </c>
      <c r="G892">
        <v>4356</v>
      </c>
      <c r="H892" s="9">
        <v>39759</v>
      </c>
    </row>
    <row r="893" spans="6:8">
      <c r="F893">
        <v>12480</v>
      </c>
      <c r="G893">
        <v>5723</v>
      </c>
      <c r="H893" s="9">
        <v>39759</v>
      </c>
    </row>
    <row r="894" spans="6:8">
      <c r="F894">
        <v>12481</v>
      </c>
      <c r="G894">
        <v>5724</v>
      </c>
      <c r="H894" s="9">
        <v>39759</v>
      </c>
    </row>
    <row r="895" spans="6:8">
      <c r="F895">
        <v>12491</v>
      </c>
      <c r="G895">
        <v>3980</v>
      </c>
      <c r="H895" s="9">
        <v>39739</v>
      </c>
    </row>
    <row r="896" spans="6:8">
      <c r="F896">
        <v>12506</v>
      </c>
      <c r="G896">
        <v>5029</v>
      </c>
      <c r="H896" s="9">
        <v>39739</v>
      </c>
    </row>
    <row r="897" spans="6:8">
      <c r="F897">
        <v>12509</v>
      </c>
      <c r="G897">
        <v>5726</v>
      </c>
      <c r="H897" s="9">
        <v>39739</v>
      </c>
    </row>
    <row r="898" spans="6:8">
      <c r="F898">
        <v>12512</v>
      </c>
      <c r="G898">
        <v>5727</v>
      </c>
      <c r="H898" s="9">
        <v>39739</v>
      </c>
    </row>
    <row r="899" spans="6:8">
      <c r="F899">
        <v>12538</v>
      </c>
      <c r="G899">
        <v>1635</v>
      </c>
      <c r="H899" s="9">
        <v>39750</v>
      </c>
    </row>
    <row r="900" spans="6:8">
      <c r="F900">
        <v>12571</v>
      </c>
      <c r="G900">
        <v>1629</v>
      </c>
      <c r="H900" s="9">
        <v>39750</v>
      </c>
    </row>
    <row r="901" spans="6:8">
      <c r="F901">
        <v>12616</v>
      </c>
      <c r="G901">
        <v>3795</v>
      </c>
      <c r="H901" s="9">
        <v>39749</v>
      </c>
    </row>
    <row r="902" spans="6:8">
      <c r="F902">
        <v>12621</v>
      </c>
      <c r="G902">
        <v>74</v>
      </c>
      <c r="H902" s="9">
        <v>39749</v>
      </c>
    </row>
    <row r="903" spans="6:8">
      <c r="F903">
        <v>12649</v>
      </c>
      <c r="G903">
        <v>5731</v>
      </c>
      <c r="H903" s="9">
        <v>39745</v>
      </c>
    </row>
    <row r="904" spans="6:8">
      <c r="F904">
        <v>12681</v>
      </c>
      <c r="G904">
        <v>5735</v>
      </c>
      <c r="H904" s="9">
        <v>39745</v>
      </c>
    </row>
    <row r="905" spans="6:8">
      <c r="F905">
        <v>12725</v>
      </c>
      <c r="G905">
        <v>5657</v>
      </c>
      <c r="H905" s="9">
        <v>39771</v>
      </c>
    </row>
    <row r="906" spans="6:8">
      <c r="F906">
        <v>12754</v>
      </c>
      <c r="G906">
        <v>4460</v>
      </c>
      <c r="H906" s="9">
        <v>39772</v>
      </c>
    </row>
    <row r="907" spans="6:8">
      <c r="F907">
        <v>12756</v>
      </c>
      <c r="G907">
        <v>3925</v>
      </c>
      <c r="H907" s="9">
        <v>39772</v>
      </c>
    </row>
    <row r="908" spans="6:8">
      <c r="F908">
        <v>12759</v>
      </c>
      <c r="G908">
        <v>3150</v>
      </c>
      <c r="H908" s="9">
        <v>39772</v>
      </c>
    </row>
    <row r="909" spans="6:8">
      <c r="F909">
        <v>12766</v>
      </c>
      <c r="G909">
        <v>5738</v>
      </c>
      <c r="H909" s="9">
        <v>39753</v>
      </c>
    </row>
    <row r="910" spans="6:8">
      <c r="F910">
        <v>12770</v>
      </c>
      <c r="G910">
        <v>5739</v>
      </c>
      <c r="H910" s="9">
        <v>39753</v>
      </c>
    </row>
    <row r="911" spans="6:8">
      <c r="F911">
        <v>12771</v>
      </c>
      <c r="G911">
        <v>4099</v>
      </c>
      <c r="H911" s="9">
        <v>39765</v>
      </c>
    </row>
    <row r="912" spans="6:8">
      <c r="F912">
        <v>12773</v>
      </c>
      <c r="G912">
        <v>3310</v>
      </c>
      <c r="H912" s="9">
        <v>39753</v>
      </c>
    </row>
    <row r="913" spans="6:8">
      <c r="F913">
        <v>12776</v>
      </c>
      <c r="G913">
        <v>5049</v>
      </c>
      <c r="H913" s="9">
        <v>39753</v>
      </c>
    </row>
    <row r="914" spans="6:8">
      <c r="F914">
        <v>12780</v>
      </c>
      <c r="G914">
        <v>5740</v>
      </c>
      <c r="H914" s="9">
        <v>39753</v>
      </c>
    </row>
    <row r="915" spans="6:8">
      <c r="F915">
        <v>12789</v>
      </c>
      <c r="G915">
        <v>5081</v>
      </c>
      <c r="H915" s="9">
        <v>39753</v>
      </c>
    </row>
    <row r="916" spans="6:8">
      <c r="F916">
        <v>12792</v>
      </c>
      <c r="G916">
        <v>3242</v>
      </c>
      <c r="H916" s="9">
        <v>39753</v>
      </c>
    </row>
    <row r="917" spans="6:8">
      <c r="F917">
        <v>12793</v>
      </c>
      <c r="G917">
        <v>5267</v>
      </c>
      <c r="H917" s="9">
        <v>39753</v>
      </c>
    </row>
    <row r="918" spans="6:8">
      <c r="F918">
        <v>12799</v>
      </c>
      <c r="G918">
        <v>5747</v>
      </c>
      <c r="H918" s="9">
        <v>39739</v>
      </c>
    </row>
    <row r="919" spans="6:8">
      <c r="F919">
        <v>12803</v>
      </c>
      <c r="G919">
        <v>5258</v>
      </c>
      <c r="H919" s="9">
        <v>39753</v>
      </c>
    </row>
    <row r="920" spans="6:8">
      <c r="F920">
        <v>12817</v>
      </c>
      <c r="G920">
        <v>5750</v>
      </c>
      <c r="H920" s="9">
        <v>39760</v>
      </c>
    </row>
    <row r="921" spans="6:8">
      <c r="F921">
        <v>12840</v>
      </c>
      <c r="G921">
        <v>785</v>
      </c>
      <c r="H921" s="9">
        <v>39739</v>
      </c>
    </row>
    <row r="922" spans="6:8">
      <c r="F922">
        <v>12852</v>
      </c>
      <c r="G922">
        <v>64</v>
      </c>
      <c r="H922" s="9">
        <v>39739</v>
      </c>
    </row>
    <row r="923" spans="6:8">
      <c r="F923">
        <v>12937</v>
      </c>
      <c r="G923">
        <v>1886</v>
      </c>
      <c r="H923" s="9">
        <v>39739</v>
      </c>
    </row>
    <row r="924" spans="6:8">
      <c r="F924">
        <v>13082</v>
      </c>
      <c r="G924">
        <v>5761</v>
      </c>
      <c r="H924" s="9">
        <v>39763</v>
      </c>
    </row>
    <row r="925" spans="6:8">
      <c r="F925">
        <v>13087</v>
      </c>
      <c r="G925">
        <v>5128</v>
      </c>
      <c r="H925" s="9">
        <v>39742</v>
      </c>
    </row>
    <row r="926" spans="6:8">
      <c r="F926">
        <v>13098</v>
      </c>
      <c r="G926">
        <v>883</v>
      </c>
      <c r="H926" s="9">
        <v>39742</v>
      </c>
    </row>
    <row r="927" spans="6:8">
      <c r="F927">
        <v>13120</v>
      </c>
      <c r="G927">
        <v>5358</v>
      </c>
      <c r="H927" s="9">
        <v>39751</v>
      </c>
    </row>
    <row r="928" spans="6:8">
      <c r="F928">
        <v>13173</v>
      </c>
      <c r="G928">
        <v>4063</v>
      </c>
      <c r="H928" s="9">
        <v>39751</v>
      </c>
    </row>
    <row r="929" spans="6:8">
      <c r="F929">
        <v>13212</v>
      </c>
      <c r="G929">
        <v>3461</v>
      </c>
      <c r="H929" s="9">
        <v>39752</v>
      </c>
    </row>
    <row r="930" spans="6:8">
      <c r="F930">
        <v>13226</v>
      </c>
      <c r="G930">
        <v>3923</v>
      </c>
      <c r="H930" s="9">
        <v>39759</v>
      </c>
    </row>
    <row r="931" spans="6:8">
      <c r="F931">
        <v>13277</v>
      </c>
      <c r="G931">
        <v>5769</v>
      </c>
      <c r="H931" s="9">
        <v>39767</v>
      </c>
    </row>
    <row r="932" spans="6:8">
      <c r="F932">
        <v>13279</v>
      </c>
      <c r="G932">
        <v>2452</v>
      </c>
      <c r="H932" s="9">
        <v>39752</v>
      </c>
    </row>
    <row r="933" spans="6:8">
      <c r="F933">
        <v>13295</v>
      </c>
      <c r="G933">
        <v>5772</v>
      </c>
      <c r="H933" s="9">
        <v>39767</v>
      </c>
    </row>
    <row r="934" spans="6:8">
      <c r="F934">
        <v>13306</v>
      </c>
      <c r="G934">
        <v>3130</v>
      </c>
      <c r="H934" s="9">
        <v>39767</v>
      </c>
    </row>
    <row r="935" spans="6:8">
      <c r="F935">
        <v>13312</v>
      </c>
      <c r="G935">
        <v>4349</v>
      </c>
      <c r="H935" s="9">
        <v>39767</v>
      </c>
    </row>
    <row r="936" spans="6:8">
      <c r="F936">
        <v>13314</v>
      </c>
      <c r="G936">
        <v>5773</v>
      </c>
      <c r="H936" s="9">
        <v>39767</v>
      </c>
    </row>
    <row r="937" spans="6:8">
      <c r="F937">
        <v>13318</v>
      </c>
      <c r="G937">
        <v>4655</v>
      </c>
      <c r="H937" s="9">
        <v>39767</v>
      </c>
    </row>
    <row r="938" spans="6:8">
      <c r="F938">
        <v>13327</v>
      </c>
      <c r="G938">
        <v>5309</v>
      </c>
      <c r="H938" s="9">
        <v>39773</v>
      </c>
    </row>
    <row r="939" spans="6:8">
      <c r="F939">
        <v>13339</v>
      </c>
      <c r="G939">
        <v>242</v>
      </c>
      <c r="H939" s="9">
        <v>39760</v>
      </c>
    </row>
    <row r="940" spans="6:8">
      <c r="F940">
        <v>13340</v>
      </c>
      <c r="G940">
        <v>3721</v>
      </c>
      <c r="H940" s="9">
        <v>39757</v>
      </c>
    </row>
    <row r="941" spans="6:8">
      <c r="F941">
        <v>13342</v>
      </c>
      <c r="G941">
        <v>5776</v>
      </c>
      <c r="H941" s="9">
        <v>39773</v>
      </c>
    </row>
    <row r="942" spans="6:8">
      <c r="F942">
        <v>13345</v>
      </c>
      <c r="G942">
        <v>56</v>
      </c>
      <c r="H942" s="9">
        <v>39760</v>
      </c>
    </row>
    <row r="943" spans="6:8">
      <c r="F943">
        <v>13377</v>
      </c>
      <c r="G943">
        <v>5778</v>
      </c>
      <c r="H943" s="9">
        <v>39757</v>
      </c>
    </row>
    <row r="944" spans="6:8">
      <c r="F944">
        <v>13380</v>
      </c>
      <c r="G944">
        <v>5676</v>
      </c>
      <c r="H944" s="9">
        <v>39757</v>
      </c>
    </row>
    <row r="945" spans="6:8">
      <c r="F945">
        <v>13383</v>
      </c>
      <c r="G945">
        <v>5779</v>
      </c>
      <c r="H945" s="9">
        <v>39757</v>
      </c>
    </row>
    <row r="946" spans="6:8">
      <c r="F946">
        <v>13384</v>
      </c>
      <c r="G946">
        <v>3937</v>
      </c>
      <c r="H946" s="9">
        <v>39757</v>
      </c>
    </row>
    <row r="947" spans="6:8">
      <c r="F947">
        <v>13385</v>
      </c>
      <c r="G947">
        <v>4951</v>
      </c>
      <c r="H947" s="9">
        <v>39757</v>
      </c>
    </row>
    <row r="948" spans="6:8">
      <c r="F948">
        <v>13386</v>
      </c>
      <c r="G948">
        <v>4148</v>
      </c>
      <c r="H948" s="9">
        <v>39757</v>
      </c>
    </row>
    <row r="949" spans="6:8">
      <c r="F949">
        <v>13389</v>
      </c>
      <c r="G949">
        <v>5780</v>
      </c>
      <c r="H949" s="9">
        <v>39757</v>
      </c>
    </row>
    <row r="950" spans="6:8">
      <c r="F950">
        <v>13393</v>
      </c>
      <c r="G950">
        <v>5783</v>
      </c>
      <c r="H950" s="9">
        <v>39757</v>
      </c>
    </row>
    <row r="951" spans="6:8">
      <c r="F951">
        <v>13397</v>
      </c>
      <c r="G951">
        <v>5786</v>
      </c>
      <c r="H951" s="9">
        <v>39757</v>
      </c>
    </row>
    <row r="952" spans="6:8">
      <c r="F952">
        <v>13401</v>
      </c>
      <c r="G952">
        <v>5790</v>
      </c>
      <c r="H952" s="9">
        <v>39757</v>
      </c>
    </row>
    <row r="953" spans="6:8">
      <c r="F953">
        <v>13402</v>
      </c>
      <c r="G953">
        <v>5208</v>
      </c>
      <c r="H953" s="9">
        <v>39757</v>
      </c>
    </row>
    <row r="954" spans="6:8">
      <c r="F954">
        <v>13404</v>
      </c>
      <c r="G954">
        <v>5793</v>
      </c>
      <c r="H954" s="9">
        <v>39760</v>
      </c>
    </row>
    <row r="955" spans="6:8">
      <c r="F955">
        <v>13405</v>
      </c>
      <c r="G955">
        <v>5794</v>
      </c>
      <c r="H955" s="9">
        <v>39766</v>
      </c>
    </row>
    <row r="956" spans="6:8">
      <c r="F956">
        <v>13406</v>
      </c>
      <c r="G956">
        <v>3921</v>
      </c>
      <c r="H956" s="9">
        <v>39766</v>
      </c>
    </row>
    <row r="957" spans="6:8">
      <c r="F957">
        <v>13407</v>
      </c>
      <c r="G957">
        <v>3930</v>
      </c>
      <c r="H957" s="9">
        <v>39766</v>
      </c>
    </row>
    <row r="958" spans="6:8">
      <c r="F958">
        <v>13409</v>
      </c>
      <c r="G958">
        <v>5796</v>
      </c>
      <c r="H958" s="9">
        <v>39766</v>
      </c>
    </row>
    <row r="959" spans="6:8">
      <c r="F959">
        <v>13410</v>
      </c>
      <c r="G959">
        <v>5797</v>
      </c>
      <c r="H959" s="9">
        <v>39760</v>
      </c>
    </row>
    <row r="960" spans="6:8">
      <c r="F960">
        <v>13411</v>
      </c>
      <c r="G960">
        <v>5798</v>
      </c>
      <c r="H960" s="9">
        <v>39766</v>
      </c>
    </row>
    <row r="961" spans="6:8">
      <c r="F961">
        <v>13412</v>
      </c>
      <c r="G961">
        <v>4949</v>
      </c>
      <c r="H961" s="9">
        <v>39766</v>
      </c>
    </row>
    <row r="962" spans="6:8">
      <c r="F962">
        <v>13414</v>
      </c>
      <c r="G962">
        <v>5799</v>
      </c>
      <c r="H962" s="9">
        <v>39766</v>
      </c>
    </row>
    <row r="963" spans="6:8">
      <c r="F963">
        <v>13417</v>
      </c>
      <c r="G963">
        <v>5345</v>
      </c>
      <c r="H963" s="9">
        <v>39763</v>
      </c>
    </row>
    <row r="964" spans="6:8">
      <c r="F964">
        <v>13418</v>
      </c>
      <c r="G964">
        <v>5347</v>
      </c>
      <c r="H964" s="9">
        <v>39763</v>
      </c>
    </row>
    <row r="965" spans="6:8">
      <c r="F965">
        <v>13429</v>
      </c>
      <c r="G965">
        <v>5802</v>
      </c>
      <c r="H965" s="9">
        <v>39763</v>
      </c>
    </row>
    <row r="966" spans="6:8">
      <c r="F966">
        <v>13432</v>
      </c>
      <c r="G966">
        <v>5663</v>
      </c>
      <c r="H966" s="9">
        <v>39763</v>
      </c>
    </row>
    <row r="967" spans="6:8">
      <c r="F967">
        <v>13433</v>
      </c>
      <c r="G967">
        <v>4217</v>
      </c>
      <c r="H967" s="9">
        <v>39763</v>
      </c>
    </row>
    <row r="968" spans="6:8">
      <c r="F968">
        <v>13435</v>
      </c>
      <c r="G968">
        <v>5803</v>
      </c>
      <c r="H968" s="9">
        <v>39763</v>
      </c>
    </row>
    <row r="969" spans="6:8">
      <c r="F969">
        <v>13439</v>
      </c>
      <c r="G969">
        <v>5804</v>
      </c>
      <c r="H969" s="9">
        <v>39763</v>
      </c>
    </row>
    <row r="970" spans="6:8">
      <c r="F970">
        <v>13528</v>
      </c>
      <c r="G970">
        <v>1487</v>
      </c>
      <c r="H970" s="9">
        <v>39756</v>
      </c>
    </row>
    <row r="971" spans="6:8">
      <c r="F971">
        <v>13583</v>
      </c>
      <c r="G971">
        <v>715</v>
      </c>
      <c r="H971" s="9">
        <v>39774</v>
      </c>
    </row>
    <row r="972" spans="6:8">
      <c r="F972">
        <v>13591</v>
      </c>
      <c r="G972">
        <v>1953</v>
      </c>
      <c r="H972" s="9">
        <v>39774</v>
      </c>
    </row>
    <row r="973" spans="6:8">
      <c r="F973">
        <v>13648</v>
      </c>
      <c r="G973">
        <v>3316</v>
      </c>
      <c r="H973" s="9">
        <v>39773</v>
      </c>
    </row>
    <row r="974" spans="6:8">
      <c r="F974">
        <v>13659</v>
      </c>
      <c r="G974">
        <v>3075</v>
      </c>
      <c r="H974" s="9">
        <v>39774</v>
      </c>
    </row>
    <row r="975" spans="6:8">
      <c r="F975">
        <v>13668</v>
      </c>
      <c r="G975">
        <v>605</v>
      </c>
      <c r="H975" s="9">
        <v>39774</v>
      </c>
    </row>
    <row r="976" spans="6:8">
      <c r="F976">
        <v>13669</v>
      </c>
      <c r="G976">
        <v>5251</v>
      </c>
      <c r="H976" s="9">
        <v>39773</v>
      </c>
    </row>
    <row r="977" spans="6:8">
      <c r="F977">
        <v>13670</v>
      </c>
      <c r="G977">
        <v>5062</v>
      </c>
      <c r="H977" s="9">
        <v>39773</v>
      </c>
    </row>
    <row r="978" spans="6:8">
      <c r="F978">
        <v>13680</v>
      </c>
      <c r="G978">
        <v>5810</v>
      </c>
      <c r="H978" s="9">
        <v>39773</v>
      </c>
    </row>
    <row r="979" spans="6:8">
      <c r="F979">
        <v>13681</v>
      </c>
      <c r="G979">
        <v>5321</v>
      </c>
      <c r="H979" s="9">
        <v>39773</v>
      </c>
    </row>
    <row r="980" spans="6:8">
      <c r="F980">
        <v>13694</v>
      </c>
      <c r="G980">
        <v>5813</v>
      </c>
      <c r="H980" s="9">
        <v>39773</v>
      </c>
    </row>
    <row r="981" spans="6:8">
      <c r="F981">
        <v>13697</v>
      </c>
      <c r="G981">
        <v>5816</v>
      </c>
      <c r="H981" s="9">
        <v>39773</v>
      </c>
    </row>
    <row r="982" spans="6:8">
      <c r="F982">
        <v>13701</v>
      </c>
      <c r="G982">
        <v>4127</v>
      </c>
      <c r="H982" s="9">
        <v>39773</v>
      </c>
    </row>
    <row r="983" spans="6:8">
      <c r="F983">
        <v>13712</v>
      </c>
      <c r="G983">
        <v>5820</v>
      </c>
      <c r="H983" s="9">
        <v>39773</v>
      </c>
    </row>
    <row r="984" spans="6:8">
      <c r="F984">
        <v>13714</v>
      </c>
      <c r="G984">
        <v>5270</v>
      </c>
      <c r="H984" s="9">
        <v>39773</v>
      </c>
    </row>
    <row r="985" spans="6:8">
      <c r="F985">
        <v>13717</v>
      </c>
      <c r="G985">
        <v>1599</v>
      </c>
      <c r="H985" s="9">
        <v>39767</v>
      </c>
    </row>
    <row r="986" spans="6:8">
      <c r="F986">
        <v>13742</v>
      </c>
      <c r="G986">
        <v>5316</v>
      </c>
      <c r="H986" s="9">
        <v>39753</v>
      </c>
    </row>
    <row r="987" spans="6:8">
      <c r="F987">
        <v>13750</v>
      </c>
      <c r="G987">
        <v>5831</v>
      </c>
      <c r="H987" s="9">
        <v>39767</v>
      </c>
    </row>
    <row r="988" spans="6:8">
      <c r="F988">
        <v>13797</v>
      </c>
      <c r="G988">
        <v>5834</v>
      </c>
      <c r="H988" s="9">
        <v>39777</v>
      </c>
    </row>
    <row r="989" spans="6:8">
      <c r="F989">
        <v>13799</v>
      </c>
      <c r="G989">
        <v>5119</v>
      </c>
      <c r="H989" s="9">
        <v>39777</v>
      </c>
    </row>
    <row r="990" spans="6:8">
      <c r="F990">
        <v>13801</v>
      </c>
      <c r="G990">
        <v>5078</v>
      </c>
      <c r="H990" s="9">
        <v>39777</v>
      </c>
    </row>
    <row r="991" spans="6:8">
      <c r="F991">
        <v>13802</v>
      </c>
      <c r="G991">
        <v>3318</v>
      </c>
      <c r="H991" s="9">
        <v>39777</v>
      </c>
    </row>
    <row r="992" spans="6:8">
      <c r="F992">
        <v>13803</v>
      </c>
      <c r="G992">
        <v>5299</v>
      </c>
      <c r="H992" s="9">
        <v>39777</v>
      </c>
    </row>
    <row r="993" spans="6:8">
      <c r="F993">
        <v>13805</v>
      </c>
      <c r="G993">
        <v>4981</v>
      </c>
      <c r="H993" s="9">
        <v>39777</v>
      </c>
    </row>
    <row r="994" spans="6:8">
      <c r="F994">
        <v>13807</v>
      </c>
      <c r="G994">
        <v>5860</v>
      </c>
      <c r="H994" s="9">
        <v>39777</v>
      </c>
    </row>
    <row r="995" spans="6:8">
      <c r="F995">
        <v>13809</v>
      </c>
      <c r="G995">
        <v>5492</v>
      </c>
      <c r="H995" s="9">
        <v>39777</v>
      </c>
    </row>
    <row r="996" spans="6:8">
      <c r="F996">
        <v>13812</v>
      </c>
      <c r="G996">
        <v>3016</v>
      </c>
      <c r="H996" s="9">
        <v>39767</v>
      </c>
    </row>
    <row r="997" spans="6:8">
      <c r="F997">
        <v>13814</v>
      </c>
      <c r="G997">
        <v>2007</v>
      </c>
      <c r="H997" s="9">
        <v>39767</v>
      </c>
    </row>
    <row r="998" spans="6:8">
      <c r="F998">
        <v>13818</v>
      </c>
      <c r="G998">
        <v>1184</v>
      </c>
      <c r="H998" s="9">
        <v>39767</v>
      </c>
    </row>
    <row r="999" spans="6:8">
      <c r="F999">
        <v>13831</v>
      </c>
      <c r="G999">
        <v>513</v>
      </c>
      <c r="H999" s="9">
        <v>39771</v>
      </c>
    </row>
    <row r="1000" spans="6:8">
      <c r="F1000">
        <v>13848</v>
      </c>
      <c r="G1000">
        <v>1805</v>
      </c>
      <c r="H1000" s="9">
        <v>39777</v>
      </c>
    </row>
    <row r="1001" spans="6:8">
      <c r="F1001">
        <v>13868</v>
      </c>
      <c r="G1001">
        <v>2192</v>
      </c>
      <c r="H1001" s="9">
        <v>39777</v>
      </c>
    </row>
    <row r="1002" spans="6:8">
      <c r="F1002">
        <v>13872</v>
      </c>
      <c r="G1002">
        <v>258</v>
      </c>
      <c r="H1002" s="9">
        <v>39777</v>
      </c>
    </row>
    <row r="1003" spans="6:8">
      <c r="F1003">
        <v>13911</v>
      </c>
      <c r="G1003">
        <v>5873</v>
      </c>
      <c r="H1003" s="9">
        <v>39760</v>
      </c>
    </row>
    <row r="1004" spans="6:8">
      <c r="F1004">
        <v>13924</v>
      </c>
      <c r="G1004">
        <v>4535</v>
      </c>
      <c r="H1004" s="9">
        <v>39771</v>
      </c>
    </row>
    <row r="1005" spans="6:8">
      <c r="F1005">
        <v>13959</v>
      </c>
      <c r="G1005">
        <v>1188</v>
      </c>
      <c r="H1005" s="9">
        <v>39760</v>
      </c>
    </row>
    <row r="1006" spans="6:8">
      <c r="F1006">
        <v>13960</v>
      </c>
      <c r="G1006">
        <v>3754</v>
      </c>
      <c r="H1006" s="9">
        <v>39760</v>
      </c>
    </row>
    <row r="1007" spans="6:8">
      <c r="F1007">
        <v>13963</v>
      </c>
      <c r="G1007">
        <v>2562</v>
      </c>
      <c r="H1007" s="9">
        <v>39760</v>
      </c>
    </row>
    <row r="1008" spans="6:8">
      <c r="F1008">
        <v>13968</v>
      </c>
      <c r="G1008">
        <v>781</v>
      </c>
      <c r="H1008" s="9">
        <v>39774</v>
      </c>
    </row>
    <row r="1009" spans="6:8">
      <c r="F1009">
        <v>13972</v>
      </c>
      <c r="G1009">
        <v>3752</v>
      </c>
      <c r="H1009" s="9">
        <v>39760</v>
      </c>
    </row>
    <row r="1010" spans="6:8">
      <c r="F1010">
        <v>13993</v>
      </c>
      <c r="G1010">
        <v>5879</v>
      </c>
      <c r="H1010" s="9">
        <v>39779</v>
      </c>
    </row>
    <row r="1011" spans="6:8">
      <c r="F1011">
        <v>14006</v>
      </c>
      <c r="G1011">
        <v>5882</v>
      </c>
      <c r="H1011" s="9">
        <v>39779</v>
      </c>
    </row>
    <row r="1012" spans="6:8">
      <c r="F1012">
        <v>14013</v>
      </c>
      <c r="G1012">
        <v>5883</v>
      </c>
      <c r="H1012" s="9">
        <v>39779</v>
      </c>
    </row>
    <row r="1013" spans="6:8">
      <c r="F1013">
        <v>14015</v>
      </c>
      <c r="G1013">
        <v>291</v>
      </c>
      <c r="H1013" s="9">
        <v>39779</v>
      </c>
    </row>
    <row r="1014" spans="6:8">
      <c r="F1014">
        <v>14016</v>
      </c>
      <c r="G1014">
        <v>1950</v>
      </c>
      <c r="H1014" s="9">
        <v>39774</v>
      </c>
    </row>
    <row r="1015" spans="6:8">
      <c r="F1015">
        <v>14019</v>
      </c>
      <c r="G1015">
        <v>291</v>
      </c>
      <c r="H1015" s="9">
        <v>39779</v>
      </c>
    </row>
    <row r="1016" spans="6:8">
      <c r="F1016">
        <v>14032</v>
      </c>
      <c r="G1016">
        <v>476</v>
      </c>
      <c r="H1016" s="9">
        <v>39779</v>
      </c>
    </row>
    <row r="1017" spans="6:8">
      <c r="F1017">
        <v>14036</v>
      </c>
      <c r="G1017">
        <v>5886</v>
      </c>
      <c r="H1017" s="9">
        <v>39779</v>
      </c>
    </row>
    <row r="1018" spans="6:8">
      <c r="F1018">
        <v>14052</v>
      </c>
      <c r="G1018">
        <v>3971</v>
      </c>
      <c r="H1018" s="9">
        <v>39779</v>
      </c>
    </row>
    <row r="1019" spans="6:8">
      <c r="F1019">
        <v>14053</v>
      </c>
      <c r="G1019">
        <v>4920</v>
      </c>
      <c r="H1019" s="9">
        <v>39779</v>
      </c>
    </row>
    <row r="1020" spans="6:8">
      <c r="F1020">
        <v>14055</v>
      </c>
      <c r="G1020">
        <v>5069</v>
      </c>
      <c r="H1020" s="9">
        <v>39779</v>
      </c>
    </row>
    <row r="1021" spans="6:8">
      <c r="F1021">
        <v>14086</v>
      </c>
      <c r="G1021">
        <v>3823</v>
      </c>
      <c r="H1021" s="9">
        <v>39772</v>
      </c>
    </row>
    <row r="1022" spans="6:8">
      <c r="F1022">
        <v>14109</v>
      </c>
      <c r="G1022">
        <v>2757</v>
      </c>
      <c r="H1022" s="9">
        <v>39766</v>
      </c>
    </row>
    <row r="1023" spans="6:8">
      <c r="F1023">
        <v>14124</v>
      </c>
      <c r="G1023">
        <v>5718</v>
      </c>
      <c r="H1023" s="9">
        <v>39779</v>
      </c>
    </row>
    <row r="1024" spans="6:8">
      <c r="F1024">
        <v>14128</v>
      </c>
      <c r="G1024">
        <v>3961</v>
      </c>
      <c r="H1024" s="9">
        <v>39779</v>
      </c>
    </row>
    <row r="1025" spans="6:8">
      <c r="F1025">
        <v>14130</v>
      </c>
      <c r="G1025">
        <v>4315</v>
      </c>
      <c r="H1025" s="9">
        <v>39780</v>
      </c>
    </row>
    <row r="1026" spans="6:8">
      <c r="F1026">
        <v>14131</v>
      </c>
      <c r="G1026">
        <v>5806</v>
      </c>
      <c r="H1026" s="9">
        <v>39779</v>
      </c>
    </row>
    <row r="1027" spans="6:8">
      <c r="F1027">
        <v>14132</v>
      </c>
      <c r="G1027">
        <v>5898</v>
      </c>
      <c r="H1027" s="9">
        <v>39779</v>
      </c>
    </row>
    <row r="1028" spans="6:8">
      <c r="F1028">
        <v>14134</v>
      </c>
      <c r="G1028">
        <v>5139</v>
      </c>
      <c r="H1028" s="9">
        <v>39779</v>
      </c>
    </row>
    <row r="1029" spans="6:8">
      <c r="F1029">
        <v>14135</v>
      </c>
      <c r="G1029">
        <v>4512</v>
      </c>
      <c r="H1029" s="9">
        <v>39779</v>
      </c>
    </row>
    <row r="1030" spans="6:8">
      <c r="F1030">
        <v>14136</v>
      </c>
      <c r="G1030">
        <v>3557</v>
      </c>
      <c r="H1030" s="9">
        <v>39779</v>
      </c>
    </row>
    <row r="1031" spans="6:8">
      <c r="F1031">
        <v>14138</v>
      </c>
      <c r="G1031">
        <v>5900</v>
      </c>
      <c r="H1031" s="9">
        <v>39779</v>
      </c>
    </row>
    <row r="1032" spans="6:8">
      <c r="F1032">
        <v>14139</v>
      </c>
      <c r="G1032">
        <v>5901</v>
      </c>
      <c r="H1032" s="9">
        <v>39779</v>
      </c>
    </row>
    <row r="1033" spans="6:8">
      <c r="F1033">
        <v>14140</v>
      </c>
      <c r="G1033">
        <v>4697</v>
      </c>
      <c r="H1033" s="9">
        <v>39779</v>
      </c>
    </row>
    <row r="1034" spans="6:8">
      <c r="F1034">
        <v>14141</v>
      </c>
      <c r="G1034">
        <v>5801</v>
      </c>
      <c r="H1034" s="9">
        <v>39779</v>
      </c>
    </row>
    <row r="1035" spans="6:8">
      <c r="F1035">
        <v>14142</v>
      </c>
      <c r="G1035">
        <v>4893</v>
      </c>
      <c r="H1035" s="9">
        <v>39779</v>
      </c>
    </row>
    <row r="1036" spans="6:8">
      <c r="F1036">
        <v>14143</v>
      </c>
      <c r="G1036">
        <v>3953</v>
      </c>
      <c r="H1036" s="9">
        <v>39777</v>
      </c>
    </row>
    <row r="1037" spans="6:8">
      <c r="F1037">
        <v>14144</v>
      </c>
      <c r="G1037">
        <v>3953</v>
      </c>
      <c r="H1037" s="9">
        <v>39777</v>
      </c>
    </row>
    <row r="1038" spans="6:8">
      <c r="F1038">
        <v>14145</v>
      </c>
      <c r="G1038">
        <v>3953</v>
      </c>
      <c r="H1038" s="9">
        <v>39777</v>
      </c>
    </row>
    <row r="1039" spans="6:8">
      <c r="F1039">
        <v>14146</v>
      </c>
      <c r="G1039">
        <v>3953</v>
      </c>
      <c r="H1039" s="9">
        <v>39777</v>
      </c>
    </row>
    <row r="1040" spans="6:8">
      <c r="F1040">
        <v>14147</v>
      </c>
      <c r="G1040">
        <v>3953</v>
      </c>
      <c r="H1040" s="9">
        <v>39777</v>
      </c>
    </row>
    <row r="1041" spans="6:8">
      <c r="F1041">
        <v>14148</v>
      </c>
      <c r="G1041">
        <v>3953</v>
      </c>
      <c r="H1041" s="9">
        <v>39777</v>
      </c>
    </row>
    <row r="1042" spans="6:8">
      <c r="F1042">
        <v>14155</v>
      </c>
      <c r="G1042">
        <v>5396</v>
      </c>
      <c r="H1042" s="9">
        <v>39777</v>
      </c>
    </row>
    <row r="1043" spans="6:8">
      <c r="F1043">
        <v>14186</v>
      </c>
      <c r="G1043">
        <v>514</v>
      </c>
      <c r="H1043" s="9">
        <v>39776</v>
      </c>
    </row>
    <row r="1044" spans="6:8">
      <c r="F1044">
        <v>14187</v>
      </c>
      <c r="G1044">
        <v>5903</v>
      </c>
      <c r="H1044" s="9">
        <v>39776</v>
      </c>
    </row>
    <row r="1045" spans="6:8">
      <c r="F1045">
        <v>14191</v>
      </c>
      <c r="G1045">
        <v>4770</v>
      </c>
      <c r="H1045" s="9">
        <v>39777</v>
      </c>
    </row>
    <row r="1046" spans="6:8">
      <c r="F1046">
        <v>14231</v>
      </c>
      <c r="G1046">
        <v>5907</v>
      </c>
      <c r="H1046" s="9">
        <v>39758</v>
      </c>
    </row>
    <row r="1047" spans="6:8">
      <c r="F1047">
        <v>14293</v>
      </c>
      <c r="G1047">
        <v>1505</v>
      </c>
      <c r="H1047" s="9">
        <v>39770</v>
      </c>
    </row>
    <row r="1048" spans="6:8">
      <c r="F1048">
        <v>14309</v>
      </c>
      <c r="G1048">
        <v>5914</v>
      </c>
      <c r="H1048" s="9">
        <v>39758</v>
      </c>
    </row>
    <row r="1049" spans="6:8">
      <c r="F1049">
        <v>14385</v>
      </c>
      <c r="G1049">
        <v>2270</v>
      </c>
      <c r="H1049" s="9">
        <v>39749</v>
      </c>
    </row>
    <row r="1050" spans="6:8">
      <c r="F1050">
        <v>14424</v>
      </c>
      <c r="G1050">
        <v>5923</v>
      </c>
      <c r="H1050" s="9">
        <v>39771</v>
      </c>
    </row>
    <row r="1051" spans="6:8">
      <c r="F1051">
        <v>14440</v>
      </c>
      <c r="G1051">
        <v>5926</v>
      </c>
      <c r="H1051" s="9">
        <v>39761</v>
      </c>
    </row>
    <row r="1052" spans="6:8">
      <c r="F1052">
        <v>14443</v>
      </c>
      <c r="G1052">
        <v>5927</v>
      </c>
      <c r="H1052" s="9">
        <v>39749</v>
      </c>
    </row>
    <row r="1053" spans="6:8">
      <c r="F1053">
        <v>14449</v>
      </c>
      <c r="G1053">
        <v>315</v>
      </c>
      <c r="H1053" s="9">
        <v>39749</v>
      </c>
    </row>
    <row r="1054" spans="6:8">
      <c r="F1054">
        <v>14473</v>
      </c>
      <c r="G1054">
        <v>652</v>
      </c>
      <c r="H1054" s="9">
        <v>39780</v>
      </c>
    </row>
    <row r="1055" spans="6:8">
      <c r="F1055">
        <v>14497</v>
      </c>
      <c r="G1055">
        <v>2632</v>
      </c>
      <c r="H1055" s="9">
        <v>39781</v>
      </c>
    </row>
    <row r="1056" spans="6:8">
      <c r="F1056">
        <v>14507</v>
      </c>
      <c r="G1056">
        <v>485</v>
      </c>
      <c r="H1056" s="9">
        <v>39784</v>
      </c>
    </row>
    <row r="1057" spans="6:8">
      <c r="F1057">
        <v>14537</v>
      </c>
      <c r="G1057">
        <v>2733</v>
      </c>
      <c r="H1057" s="9">
        <v>39764</v>
      </c>
    </row>
    <row r="1058" spans="6:8">
      <c r="F1058">
        <v>14552</v>
      </c>
      <c r="G1058">
        <v>1617</v>
      </c>
      <c r="H1058" s="9">
        <v>39764</v>
      </c>
    </row>
    <row r="1059" spans="6:8">
      <c r="F1059">
        <v>14570</v>
      </c>
      <c r="G1059">
        <v>3897</v>
      </c>
      <c r="H1059" s="9">
        <v>39764</v>
      </c>
    </row>
    <row r="1060" spans="6:8">
      <c r="F1060">
        <v>14573</v>
      </c>
      <c r="G1060">
        <v>5938</v>
      </c>
      <c r="H1060" s="9">
        <v>39764</v>
      </c>
    </row>
    <row r="1061" spans="6:8">
      <c r="F1061">
        <v>14574</v>
      </c>
      <c r="G1061">
        <v>958</v>
      </c>
      <c r="H1061" s="9">
        <v>39764</v>
      </c>
    </row>
    <row r="1062" spans="6:8">
      <c r="F1062">
        <v>14588</v>
      </c>
      <c r="G1062">
        <v>2931</v>
      </c>
      <c r="H1062" s="9">
        <v>39786</v>
      </c>
    </row>
    <row r="1063" spans="6:8">
      <c r="F1063">
        <v>14602</v>
      </c>
      <c r="G1063">
        <v>5187</v>
      </c>
      <c r="H1063" s="9">
        <v>39785</v>
      </c>
    </row>
    <row r="1064" spans="6:8">
      <c r="F1064">
        <v>14616</v>
      </c>
      <c r="G1064">
        <v>1984</v>
      </c>
      <c r="H1064" s="9">
        <v>39785</v>
      </c>
    </row>
    <row r="1065" spans="6:8">
      <c r="F1065">
        <v>14665</v>
      </c>
      <c r="G1065">
        <v>4848</v>
      </c>
      <c r="H1065" s="9">
        <v>39781</v>
      </c>
    </row>
    <row r="1066" spans="6:8">
      <c r="F1066">
        <v>14666</v>
      </c>
      <c r="G1066">
        <v>4700</v>
      </c>
      <c r="H1066" s="9">
        <v>39781</v>
      </c>
    </row>
    <row r="1067" spans="6:8">
      <c r="F1067">
        <v>14677</v>
      </c>
      <c r="G1067">
        <v>5194</v>
      </c>
      <c r="H1067" s="9">
        <v>39784</v>
      </c>
    </row>
    <row r="1068" spans="6:8">
      <c r="F1068">
        <v>14678</v>
      </c>
      <c r="G1068">
        <v>5194</v>
      </c>
      <c r="H1068" s="9">
        <v>39784</v>
      </c>
    </row>
    <row r="1069" spans="6:8">
      <c r="F1069">
        <v>14679</v>
      </c>
      <c r="G1069">
        <v>5945</v>
      </c>
      <c r="H1069" s="9">
        <v>39784</v>
      </c>
    </row>
    <row r="1070" spans="6:8">
      <c r="F1070">
        <v>14682</v>
      </c>
      <c r="G1070">
        <v>3267</v>
      </c>
      <c r="H1070" s="9">
        <v>39784</v>
      </c>
    </row>
    <row r="1071" spans="6:8">
      <c r="F1071">
        <v>14683</v>
      </c>
      <c r="G1071">
        <v>3290</v>
      </c>
      <c r="H1071" s="9">
        <v>39784</v>
      </c>
    </row>
    <row r="1072" spans="6:8">
      <c r="F1072">
        <v>14686</v>
      </c>
      <c r="G1072">
        <v>3232</v>
      </c>
      <c r="H1072" s="9">
        <v>39787</v>
      </c>
    </row>
    <row r="1073" spans="6:8">
      <c r="F1073">
        <v>14688</v>
      </c>
      <c r="G1073">
        <v>5063</v>
      </c>
      <c r="H1073" s="9">
        <v>39787</v>
      </c>
    </row>
    <row r="1074" spans="6:8">
      <c r="F1074">
        <v>14696</v>
      </c>
      <c r="G1074">
        <v>5071</v>
      </c>
      <c r="H1074" s="9">
        <v>39787</v>
      </c>
    </row>
    <row r="1075" spans="6:8">
      <c r="F1075">
        <v>14699</v>
      </c>
      <c r="G1075">
        <v>4186</v>
      </c>
      <c r="H1075" s="9">
        <v>39788</v>
      </c>
    </row>
    <row r="1076" spans="6:8">
      <c r="F1076">
        <v>14707</v>
      </c>
      <c r="G1076">
        <v>5045</v>
      </c>
      <c r="H1076" s="9">
        <v>39788</v>
      </c>
    </row>
    <row r="1077" spans="6:8">
      <c r="F1077">
        <v>14708</v>
      </c>
      <c r="G1077">
        <v>5625</v>
      </c>
      <c r="H1077" s="9">
        <v>39788</v>
      </c>
    </row>
    <row r="1078" spans="6:8">
      <c r="F1078">
        <v>14710</v>
      </c>
      <c r="G1078">
        <v>3243</v>
      </c>
      <c r="H1078" s="9">
        <v>39788</v>
      </c>
    </row>
    <row r="1079" spans="6:8">
      <c r="F1079">
        <v>14713</v>
      </c>
      <c r="G1079">
        <v>5955</v>
      </c>
      <c r="H1079" s="9">
        <v>39788</v>
      </c>
    </row>
    <row r="1080" spans="6:8">
      <c r="F1080">
        <v>14717</v>
      </c>
      <c r="G1080">
        <v>4842</v>
      </c>
      <c r="H1080" s="9">
        <v>39788</v>
      </c>
    </row>
    <row r="1081" spans="6:8">
      <c r="F1081">
        <v>14723</v>
      </c>
      <c r="G1081">
        <v>5957</v>
      </c>
      <c r="H1081" s="9">
        <v>39788</v>
      </c>
    </row>
    <row r="1082" spans="6:8">
      <c r="F1082">
        <v>14725</v>
      </c>
      <c r="G1082">
        <v>5958</v>
      </c>
      <c r="H1082" s="9">
        <v>39788</v>
      </c>
    </row>
    <row r="1083" spans="6:8">
      <c r="F1083">
        <v>14729</v>
      </c>
      <c r="G1083">
        <v>5959</v>
      </c>
      <c r="H1083" s="9">
        <v>39788</v>
      </c>
    </row>
    <row r="1084" spans="6:8">
      <c r="F1084">
        <v>14732</v>
      </c>
      <c r="G1084">
        <v>3705</v>
      </c>
      <c r="H1084" s="9">
        <v>39788</v>
      </c>
    </row>
    <row r="1085" spans="6:8">
      <c r="F1085">
        <v>14746</v>
      </c>
      <c r="G1085">
        <v>1976</v>
      </c>
      <c r="H1085" s="9">
        <v>39788</v>
      </c>
    </row>
    <row r="1086" spans="6:8">
      <c r="F1086">
        <v>14747</v>
      </c>
      <c r="G1086">
        <v>5962</v>
      </c>
      <c r="H1086" s="9">
        <v>39788</v>
      </c>
    </row>
    <row r="1087" spans="6:8">
      <c r="F1087">
        <v>14753</v>
      </c>
      <c r="G1087">
        <v>3294</v>
      </c>
      <c r="H1087" s="9">
        <v>39788</v>
      </c>
    </row>
    <row r="1088" spans="6:8">
      <c r="F1088">
        <v>14755</v>
      </c>
      <c r="G1088">
        <v>3225</v>
      </c>
      <c r="H1088" s="9">
        <v>39788</v>
      </c>
    </row>
    <row r="1089" spans="6:8">
      <c r="F1089">
        <v>14756</v>
      </c>
      <c r="G1089">
        <v>5963</v>
      </c>
      <c r="H1089" s="9">
        <v>39788</v>
      </c>
    </row>
    <row r="1090" spans="6:8">
      <c r="F1090">
        <v>14757</v>
      </c>
      <c r="G1090">
        <v>5964</v>
      </c>
      <c r="H1090" s="9">
        <v>39788</v>
      </c>
    </row>
    <row r="1091" spans="6:8">
      <c r="F1091">
        <v>14759</v>
      </c>
      <c r="G1091">
        <v>5965</v>
      </c>
      <c r="H1091" s="9">
        <v>39788</v>
      </c>
    </row>
    <row r="1092" spans="6:8">
      <c r="F1092">
        <v>14796</v>
      </c>
      <c r="G1092">
        <v>1644</v>
      </c>
      <c r="H1092" s="9">
        <v>39788</v>
      </c>
    </row>
    <row r="1093" spans="6:8">
      <c r="F1093">
        <v>14842</v>
      </c>
      <c r="G1093">
        <v>3092</v>
      </c>
      <c r="H1093" s="9">
        <v>39788</v>
      </c>
    </row>
    <row r="1094" spans="6:8">
      <c r="F1094">
        <v>14874</v>
      </c>
      <c r="G1094">
        <v>3834</v>
      </c>
      <c r="H1094" s="9">
        <v>39788</v>
      </c>
    </row>
    <row r="1095" spans="6:8">
      <c r="F1095">
        <v>14884</v>
      </c>
      <c r="G1095">
        <v>959</v>
      </c>
      <c r="H1095" s="9">
        <v>39788</v>
      </c>
    </row>
    <row r="1096" spans="6:8">
      <c r="F1096">
        <v>14894</v>
      </c>
      <c r="G1096">
        <v>809</v>
      </c>
      <c r="H1096" s="9">
        <v>39788</v>
      </c>
    </row>
    <row r="1097" spans="6:8">
      <c r="F1097">
        <v>14895</v>
      </c>
      <c r="G1097">
        <v>974</v>
      </c>
      <c r="H1097" s="9">
        <v>39788</v>
      </c>
    </row>
    <row r="1098" spans="6:8">
      <c r="F1098">
        <v>14898</v>
      </c>
      <c r="G1098">
        <v>641</v>
      </c>
      <c r="H1098" s="9">
        <v>39788</v>
      </c>
    </row>
    <row r="1099" spans="6:8">
      <c r="F1099">
        <v>14923</v>
      </c>
      <c r="G1099">
        <v>62</v>
      </c>
      <c r="H1099" s="9">
        <v>39788</v>
      </c>
    </row>
    <row r="1100" spans="6:8">
      <c r="F1100">
        <v>14945</v>
      </c>
      <c r="G1100">
        <v>1025</v>
      </c>
      <c r="H1100" s="9">
        <v>39788</v>
      </c>
    </row>
    <row r="1101" spans="6:8">
      <c r="F1101">
        <v>14974</v>
      </c>
      <c r="G1101">
        <v>5018</v>
      </c>
      <c r="H1101" s="9">
        <v>39789</v>
      </c>
    </row>
    <row r="1102" spans="6:8">
      <c r="F1102">
        <v>14975</v>
      </c>
      <c r="G1102">
        <v>3337</v>
      </c>
      <c r="H1102" s="9">
        <v>39789</v>
      </c>
    </row>
    <row r="1103" spans="6:8">
      <c r="F1103">
        <v>14976</v>
      </c>
      <c r="G1103">
        <v>3258</v>
      </c>
      <c r="H1103" s="9">
        <v>39789</v>
      </c>
    </row>
    <row r="1104" spans="6:8">
      <c r="F1104">
        <v>14977</v>
      </c>
      <c r="G1104">
        <v>3250</v>
      </c>
      <c r="H1104" s="9">
        <v>39789</v>
      </c>
    </row>
    <row r="1105" spans="6:8">
      <c r="F1105">
        <v>14978</v>
      </c>
      <c r="G1105">
        <v>5025</v>
      </c>
      <c r="H1105" s="9">
        <v>39789</v>
      </c>
    </row>
    <row r="1106" spans="6:8">
      <c r="F1106">
        <v>14979</v>
      </c>
      <c r="G1106">
        <v>3348</v>
      </c>
      <c r="H1106" s="9">
        <v>39789</v>
      </c>
    </row>
    <row r="1107" spans="6:8">
      <c r="F1107">
        <v>14980</v>
      </c>
      <c r="G1107">
        <v>3293</v>
      </c>
      <c r="H1107" s="9">
        <v>39789</v>
      </c>
    </row>
    <row r="1108" spans="6:8">
      <c r="F1108">
        <v>14981</v>
      </c>
      <c r="G1108">
        <v>3224</v>
      </c>
      <c r="H1108" s="9">
        <v>39789</v>
      </c>
    </row>
    <row r="1109" spans="6:8">
      <c r="F1109">
        <v>14998</v>
      </c>
      <c r="G1109">
        <v>4154</v>
      </c>
      <c r="H1109" s="9">
        <v>39789</v>
      </c>
    </row>
    <row r="1110" spans="6:8">
      <c r="F1110">
        <v>15003</v>
      </c>
      <c r="G1110">
        <v>4845</v>
      </c>
      <c r="H1110" s="9">
        <v>39789</v>
      </c>
    </row>
    <row r="1111" spans="6:8">
      <c r="F1111">
        <v>15026</v>
      </c>
      <c r="G1111">
        <v>5905</v>
      </c>
      <c r="H1111" s="9">
        <v>39791</v>
      </c>
    </row>
    <row r="1112" spans="6:8">
      <c r="F1112">
        <v>15029</v>
      </c>
      <c r="G1112">
        <v>5972</v>
      </c>
      <c r="H1112" s="9">
        <v>39791</v>
      </c>
    </row>
    <row r="1113" spans="6:8">
      <c r="F1113">
        <v>15034</v>
      </c>
      <c r="G1113">
        <v>1172</v>
      </c>
      <c r="H1113" s="9">
        <v>39791</v>
      </c>
    </row>
    <row r="1114" spans="6:8">
      <c r="F1114">
        <v>15095</v>
      </c>
      <c r="G1114">
        <v>5976</v>
      </c>
      <c r="H1114" s="9">
        <v>39791</v>
      </c>
    </row>
    <row r="1115" spans="6:8">
      <c r="F1115">
        <v>15097</v>
      </c>
      <c r="G1115">
        <v>5788</v>
      </c>
      <c r="H1115" s="9">
        <v>39791</v>
      </c>
    </row>
    <row r="1116" spans="6:8">
      <c r="F1116">
        <v>15098</v>
      </c>
      <c r="G1116">
        <v>4138</v>
      </c>
      <c r="H1116" s="9">
        <v>39791</v>
      </c>
    </row>
    <row r="1117" spans="6:8">
      <c r="F1117">
        <v>15099</v>
      </c>
      <c r="G1117">
        <v>5977</v>
      </c>
      <c r="H1117" s="9">
        <v>39791</v>
      </c>
    </row>
    <row r="1118" spans="6:8">
      <c r="F1118">
        <v>15100</v>
      </c>
      <c r="G1118">
        <v>5978</v>
      </c>
      <c r="H1118" s="9">
        <v>39791</v>
      </c>
    </row>
    <row r="1119" spans="6:8">
      <c r="F1119">
        <v>15101</v>
      </c>
      <c r="G1119">
        <v>5212</v>
      </c>
      <c r="H1119" s="9">
        <v>39791</v>
      </c>
    </row>
    <row r="1120" spans="6:8">
      <c r="F1120">
        <v>15102</v>
      </c>
      <c r="G1120">
        <v>5805</v>
      </c>
      <c r="H1120" s="9">
        <v>39791</v>
      </c>
    </row>
    <row r="1121" spans="6:8">
      <c r="F1121">
        <v>15110</v>
      </c>
      <c r="G1121">
        <v>3299</v>
      </c>
      <c r="H1121" s="9">
        <v>39791</v>
      </c>
    </row>
    <row r="1122" spans="6:8">
      <c r="F1122">
        <v>15111</v>
      </c>
      <c r="G1122">
        <v>3342</v>
      </c>
      <c r="H1122" s="9">
        <v>39791</v>
      </c>
    </row>
    <row r="1123" spans="6:8">
      <c r="F1123">
        <v>15112</v>
      </c>
      <c r="G1123">
        <v>5982</v>
      </c>
      <c r="H1123" s="9">
        <v>39791</v>
      </c>
    </row>
    <row r="1124" spans="6:8">
      <c r="F1124">
        <v>15113</v>
      </c>
      <c r="G1124">
        <v>5020</v>
      </c>
      <c r="H1124" s="9">
        <v>39791</v>
      </c>
    </row>
    <row r="1125" spans="6:8">
      <c r="F1125">
        <v>15114</v>
      </c>
      <c r="G1125">
        <v>5008</v>
      </c>
      <c r="H1125" s="9">
        <v>39791</v>
      </c>
    </row>
    <row r="1126" spans="6:8">
      <c r="F1126">
        <v>15115</v>
      </c>
      <c r="G1126">
        <v>3300</v>
      </c>
      <c r="H1126" s="9">
        <v>39791</v>
      </c>
    </row>
    <row r="1127" spans="6:8">
      <c r="F1127">
        <v>15116</v>
      </c>
      <c r="G1127">
        <v>3229</v>
      </c>
      <c r="H1127" s="9">
        <v>39791</v>
      </c>
    </row>
    <row r="1128" spans="6:8">
      <c r="F1128">
        <v>15117</v>
      </c>
      <c r="G1128">
        <v>3283</v>
      </c>
      <c r="H1128" s="9">
        <v>39791</v>
      </c>
    </row>
    <row r="1129" spans="6:8">
      <c r="F1129">
        <v>15118</v>
      </c>
      <c r="G1129">
        <v>5074</v>
      </c>
      <c r="H1129" s="9">
        <v>39791</v>
      </c>
    </row>
    <row r="1130" spans="6:8">
      <c r="F1130">
        <v>15119</v>
      </c>
      <c r="G1130">
        <v>5255</v>
      </c>
      <c r="H1130" s="9">
        <v>39791</v>
      </c>
    </row>
    <row r="1131" spans="6:8">
      <c r="F1131">
        <v>15122</v>
      </c>
      <c r="G1131">
        <v>5286</v>
      </c>
      <c r="H1131" s="9">
        <v>39791</v>
      </c>
    </row>
    <row r="1132" spans="6:8">
      <c r="F1132">
        <v>15124</v>
      </c>
      <c r="G1132">
        <v>4142</v>
      </c>
      <c r="H1132" s="9">
        <v>39791</v>
      </c>
    </row>
    <row r="1133" spans="6:8">
      <c r="F1133">
        <v>15179</v>
      </c>
      <c r="G1133">
        <v>5953</v>
      </c>
      <c r="H1133" s="9">
        <v>39792</v>
      </c>
    </row>
    <row r="1134" spans="6:8">
      <c r="F1134">
        <v>15198</v>
      </c>
      <c r="G1134">
        <v>5291</v>
      </c>
      <c r="H1134" s="9">
        <v>39792</v>
      </c>
    </row>
    <row r="1135" spans="6:8">
      <c r="F1135">
        <v>15228</v>
      </c>
      <c r="G1135">
        <v>6003</v>
      </c>
      <c r="H1135" s="9">
        <v>39793</v>
      </c>
    </row>
    <row r="1136" spans="6:8">
      <c r="F1136">
        <v>15231</v>
      </c>
      <c r="G1136">
        <v>6004</v>
      </c>
      <c r="H1136" s="9">
        <v>39793</v>
      </c>
    </row>
    <row r="1137" spans="6:8">
      <c r="F1137">
        <v>15232</v>
      </c>
      <c r="G1137">
        <v>3291</v>
      </c>
      <c r="H1137" s="9">
        <v>39793</v>
      </c>
    </row>
    <row r="1138" spans="6:8">
      <c r="F1138">
        <v>15233</v>
      </c>
      <c r="G1138">
        <v>3296</v>
      </c>
      <c r="H1138" s="9">
        <v>39793</v>
      </c>
    </row>
    <row r="1139" spans="6:8">
      <c r="F1139">
        <v>15234</v>
      </c>
      <c r="G1139">
        <v>3350</v>
      </c>
      <c r="H1139" s="9">
        <v>39793</v>
      </c>
    </row>
    <row r="1140" spans="6:8">
      <c r="F1140">
        <v>15235</v>
      </c>
      <c r="G1140">
        <v>3335</v>
      </c>
      <c r="H1140" s="9">
        <v>39793</v>
      </c>
    </row>
    <row r="1141" spans="6:8">
      <c r="F1141">
        <v>15248</v>
      </c>
      <c r="G1141">
        <v>5983</v>
      </c>
      <c r="H1141" s="9">
        <v>39793</v>
      </c>
    </row>
    <row r="1142" spans="6:8">
      <c r="F1142">
        <v>15249</v>
      </c>
      <c r="G1142">
        <v>2573</v>
      </c>
      <c r="H1142" s="9">
        <v>39793</v>
      </c>
    </row>
    <row r="1143" spans="6:8">
      <c r="F1143">
        <v>15265</v>
      </c>
      <c r="G1143">
        <v>6013</v>
      </c>
      <c r="H1143" s="9">
        <v>39794</v>
      </c>
    </row>
    <row r="1144" spans="6:8">
      <c r="F1144">
        <v>15292</v>
      </c>
      <c r="G1144">
        <v>1679</v>
      </c>
      <c r="H1144" s="9">
        <v>39794</v>
      </c>
    </row>
    <row r="1145" spans="6:8">
      <c r="F1145">
        <v>15298</v>
      </c>
      <c r="G1145">
        <v>3320</v>
      </c>
      <c r="H1145" s="9">
        <v>39794</v>
      </c>
    </row>
    <row r="1146" spans="6:8">
      <c r="F1146">
        <v>15302</v>
      </c>
      <c r="G1146">
        <v>5709</v>
      </c>
      <c r="H1146" s="9">
        <v>39794</v>
      </c>
    </row>
    <row r="1147" spans="6:8">
      <c r="F1147">
        <v>15303</v>
      </c>
      <c r="G1147">
        <v>5043</v>
      </c>
      <c r="H1147" s="9">
        <v>39794</v>
      </c>
    </row>
    <row r="1148" spans="6:8">
      <c r="F1148">
        <v>15305</v>
      </c>
      <c r="G1148">
        <v>5248</v>
      </c>
      <c r="H1148" s="9">
        <v>39794</v>
      </c>
    </row>
    <row r="1149" spans="6:8">
      <c r="F1149">
        <v>15306</v>
      </c>
      <c r="G1149">
        <v>5041</v>
      </c>
      <c r="H1149" s="9">
        <v>39794</v>
      </c>
    </row>
    <row r="1150" spans="6:8">
      <c r="F1150">
        <v>15307</v>
      </c>
      <c r="G1150">
        <v>5249</v>
      </c>
      <c r="H1150" s="9">
        <v>39794</v>
      </c>
    </row>
    <row r="1151" spans="6:8">
      <c r="F1151">
        <v>15308</v>
      </c>
      <c r="G1151">
        <v>5269</v>
      </c>
      <c r="H1151" s="9">
        <v>39794</v>
      </c>
    </row>
    <row r="1152" spans="6:8">
      <c r="F1152">
        <v>15313</v>
      </c>
      <c r="G1152">
        <v>3694</v>
      </c>
      <c r="H1152" s="9">
        <v>39794</v>
      </c>
    </row>
    <row r="1153" spans="6:8">
      <c r="F1153">
        <v>15315</v>
      </c>
      <c r="G1153">
        <v>3320</v>
      </c>
      <c r="H1153" s="9">
        <v>39794</v>
      </c>
    </row>
    <row r="1154" spans="6:8">
      <c r="F1154">
        <v>15316</v>
      </c>
      <c r="G1154">
        <v>5725</v>
      </c>
      <c r="H1154" s="9">
        <v>39795</v>
      </c>
    </row>
    <row r="1155" spans="6:8">
      <c r="F1155">
        <v>15317</v>
      </c>
      <c r="G1155">
        <v>6017</v>
      </c>
      <c r="H1155" s="9">
        <v>39795</v>
      </c>
    </row>
    <row r="1156" spans="6:8">
      <c r="F1156">
        <v>15318</v>
      </c>
      <c r="G1156">
        <v>5600</v>
      </c>
      <c r="H1156" s="9">
        <v>39795</v>
      </c>
    </row>
    <row r="1157" spans="6:8">
      <c r="F1157">
        <v>15348</v>
      </c>
      <c r="G1157">
        <v>5706</v>
      </c>
      <c r="H1157" s="9">
        <v>39795</v>
      </c>
    </row>
    <row r="1158" spans="6:8">
      <c r="F1158">
        <v>15350</v>
      </c>
      <c r="G1158">
        <v>5586</v>
      </c>
      <c r="H1158" s="9">
        <v>39795</v>
      </c>
    </row>
    <row r="1159" spans="6:8">
      <c r="F1159">
        <v>15393</v>
      </c>
      <c r="G1159">
        <v>3071</v>
      </c>
      <c r="H1159" s="9">
        <v>39795</v>
      </c>
    </row>
    <row r="1160" spans="6:8">
      <c r="F1160">
        <v>15411</v>
      </c>
      <c r="G1160">
        <v>6020</v>
      </c>
      <c r="H1160" s="9">
        <v>39795</v>
      </c>
    </row>
    <row r="1161" spans="6:8">
      <c r="F1161">
        <v>15464</v>
      </c>
      <c r="G1161">
        <v>4025</v>
      </c>
      <c r="H1161" s="9">
        <v>39798</v>
      </c>
    </row>
    <row r="1162" spans="6:8">
      <c r="F1162">
        <v>15466</v>
      </c>
      <c r="G1162">
        <v>5372</v>
      </c>
      <c r="H1162" s="9">
        <v>39798</v>
      </c>
    </row>
    <row r="1163" spans="6:8">
      <c r="F1163">
        <v>15468</v>
      </c>
      <c r="G1163">
        <v>5941</v>
      </c>
      <c r="H1163" s="9">
        <v>39798</v>
      </c>
    </row>
    <row r="1164" spans="6:8">
      <c r="F1164">
        <v>15470</v>
      </c>
      <c r="G1164">
        <v>5061</v>
      </c>
      <c r="H1164" s="9">
        <v>39798</v>
      </c>
    </row>
    <row r="1165" spans="6:8">
      <c r="F1165">
        <v>15471</v>
      </c>
      <c r="G1165">
        <v>5151</v>
      </c>
      <c r="H1165" s="9">
        <v>39798</v>
      </c>
    </row>
    <row r="1166" spans="6:8">
      <c r="F1166">
        <v>15472</v>
      </c>
      <c r="G1166">
        <v>5056</v>
      </c>
      <c r="H1166" s="9">
        <v>39798</v>
      </c>
    </row>
    <row r="1167" spans="6:8">
      <c r="F1167">
        <v>15473</v>
      </c>
      <c r="G1167">
        <v>6022</v>
      </c>
      <c r="H1167" s="9">
        <v>39798</v>
      </c>
    </row>
    <row r="1168" spans="6:8">
      <c r="F1168">
        <v>15474</v>
      </c>
      <c r="G1168">
        <v>5319</v>
      </c>
      <c r="H1168" s="9">
        <v>39798</v>
      </c>
    </row>
    <row r="1169" spans="6:8">
      <c r="F1169">
        <v>15501</v>
      </c>
      <c r="G1169">
        <v>3352</v>
      </c>
      <c r="H1169" s="9">
        <v>39799</v>
      </c>
    </row>
    <row r="1170" spans="6:8">
      <c r="F1170">
        <v>15546</v>
      </c>
      <c r="G1170">
        <v>5817</v>
      </c>
      <c r="H1170" s="9">
        <v>39800</v>
      </c>
    </row>
    <row r="1171" spans="6:8">
      <c r="F1171">
        <v>15568</v>
      </c>
      <c r="G1171">
        <v>3431</v>
      </c>
      <c r="H1171" s="9">
        <v>39800</v>
      </c>
    </row>
    <row r="1172" spans="6:8">
      <c r="F1172">
        <v>15573</v>
      </c>
      <c r="G1172">
        <v>3046</v>
      </c>
      <c r="H1172" s="9">
        <v>39800</v>
      </c>
    </row>
    <row r="1173" spans="6:8">
      <c r="F1173">
        <v>15609</v>
      </c>
      <c r="G1173">
        <v>1894</v>
      </c>
      <c r="H1173" s="9">
        <v>39800</v>
      </c>
    </row>
    <row r="1174" spans="6:8">
      <c r="F1174">
        <v>15627</v>
      </c>
      <c r="G1174">
        <v>3234</v>
      </c>
      <c r="H1174" s="9">
        <v>39800</v>
      </c>
    </row>
    <row r="1175" spans="6:8">
      <c r="F1175">
        <v>15629</v>
      </c>
      <c r="G1175">
        <v>5981</v>
      </c>
      <c r="H1175" s="9">
        <v>39800</v>
      </c>
    </row>
    <row r="1176" spans="6:8">
      <c r="F1176">
        <v>15632</v>
      </c>
      <c r="G1176">
        <v>5623</v>
      </c>
      <c r="H1176" s="9">
        <v>39800</v>
      </c>
    </row>
    <row r="1177" spans="6:8">
      <c r="F1177">
        <v>15663</v>
      </c>
      <c r="G1177">
        <v>6037</v>
      </c>
      <c r="H1177" s="9">
        <v>39801</v>
      </c>
    </row>
    <row r="1178" spans="6:8">
      <c r="F1178">
        <v>15665</v>
      </c>
      <c r="G1178">
        <v>6038</v>
      </c>
      <c r="H1178" s="9">
        <v>39801</v>
      </c>
    </row>
    <row r="1179" spans="6:8">
      <c r="F1179">
        <v>15667</v>
      </c>
      <c r="G1179">
        <v>4082</v>
      </c>
      <c r="H1179" s="9">
        <v>39801</v>
      </c>
    </row>
    <row r="1180" spans="6:8">
      <c r="F1180">
        <v>15671</v>
      </c>
      <c r="G1180">
        <v>5117</v>
      </c>
      <c r="H1180" s="9">
        <v>39801</v>
      </c>
    </row>
    <row r="1181" spans="6:8">
      <c r="F1181">
        <v>15697</v>
      </c>
      <c r="G1181">
        <v>6041</v>
      </c>
      <c r="H1181" s="9">
        <v>39802</v>
      </c>
    </row>
    <row r="1182" spans="6:8">
      <c r="F1182">
        <v>15698</v>
      </c>
      <c r="G1182">
        <v>5515</v>
      </c>
      <c r="H1182" s="9">
        <v>39802</v>
      </c>
    </row>
    <row r="1183" spans="6:8">
      <c r="F1183">
        <v>15699</v>
      </c>
      <c r="G1183">
        <v>6042</v>
      </c>
      <c r="H1183" s="9">
        <v>39802</v>
      </c>
    </row>
    <row r="1184" spans="6:8">
      <c r="F1184">
        <v>15702</v>
      </c>
      <c r="G1184">
        <v>6043</v>
      </c>
      <c r="H1184" s="9">
        <v>39802</v>
      </c>
    </row>
    <row r="1185" spans="6:8">
      <c r="F1185">
        <v>15705</v>
      </c>
      <c r="G1185">
        <v>6045</v>
      </c>
      <c r="H1185" s="9">
        <v>39802</v>
      </c>
    </row>
    <row r="1186" spans="6:8">
      <c r="F1186">
        <v>15710</v>
      </c>
      <c r="G1186">
        <v>3146</v>
      </c>
      <c r="H1186" s="9">
        <v>39802</v>
      </c>
    </row>
    <row r="1187" spans="6:8">
      <c r="F1187">
        <v>15723</v>
      </c>
      <c r="G1187">
        <v>2041</v>
      </c>
      <c r="H1187" s="9">
        <v>39805</v>
      </c>
    </row>
    <row r="1188" spans="6:8">
      <c r="F1188">
        <v>15730</v>
      </c>
      <c r="G1188">
        <v>6051</v>
      </c>
      <c r="H1188" s="9">
        <v>39805</v>
      </c>
    </row>
    <row r="1189" spans="6:8">
      <c r="F1189">
        <v>15737</v>
      </c>
      <c r="G1189">
        <v>3536</v>
      </c>
      <c r="H1189" s="9">
        <v>39805</v>
      </c>
    </row>
    <row r="1190" spans="6:8">
      <c r="F1190">
        <v>15744</v>
      </c>
      <c r="G1190">
        <v>3536</v>
      </c>
      <c r="H1190" s="9">
        <v>39805</v>
      </c>
    </row>
    <row r="1191" spans="6:8">
      <c r="F1191">
        <v>15747</v>
      </c>
      <c r="G1191">
        <v>6052</v>
      </c>
      <c r="H1191" s="9">
        <v>39805</v>
      </c>
    </row>
    <row r="1192" spans="6:8">
      <c r="F1192">
        <v>15755</v>
      </c>
      <c r="G1192">
        <v>6053</v>
      </c>
      <c r="H1192" s="9">
        <v>39805</v>
      </c>
    </row>
    <row r="1193" spans="6:8">
      <c r="F1193">
        <v>15773</v>
      </c>
      <c r="G1193">
        <v>5671</v>
      </c>
      <c r="H1193" s="9">
        <v>39805</v>
      </c>
    </row>
    <row r="1194" spans="6:8">
      <c r="F1194">
        <v>15776</v>
      </c>
      <c r="G1194">
        <v>6054</v>
      </c>
      <c r="H1194" s="9">
        <v>39805</v>
      </c>
    </row>
    <row r="1195" spans="6:8">
      <c r="F1195">
        <v>15782</v>
      </c>
      <c r="G1195">
        <v>1998</v>
      </c>
      <c r="H1195" s="9">
        <v>39805</v>
      </c>
    </row>
    <row r="1196" spans="6:8">
      <c r="F1196">
        <v>15785</v>
      </c>
      <c r="G1196">
        <v>6058</v>
      </c>
      <c r="H1196" s="9">
        <v>39805</v>
      </c>
    </row>
    <row r="1197" spans="6:8">
      <c r="F1197">
        <v>15789</v>
      </c>
      <c r="G1197">
        <v>6060</v>
      </c>
      <c r="H1197" s="9">
        <v>39805</v>
      </c>
    </row>
    <row r="1198" spans="6:8">
      <c r="F1198">
        <v>15864</v>
      </c>
      <c r="G1198">
        <v>5182</v>
      </c>
      <c r="H1198" s="9">
        <v>39805</v>
      </c>
    </row>
    <row r="1199" spans="6:8">
      <c r="F1199">
        <v>15871</v>
      </c>
      <c r="G1199">
        <v>6063</v>
      </c>
      <c r="H1199" s="9">
        <v>39805</v>
      </c>
    </row>
    <row r="1200" spans="6:8">
      <c r="F1200">
        <v>15887</v>
      </c>
      <c r="G1200">
        <v>1376</v>
      </c>
      <c r="H1200" s="9">
        <v>39806</v>
      </c>
    </row>
    <row r="1201" spans="6:8">
      <c r="F1201">
        <v>15893</v>
      </c>
      <c r="G1201">
        <v>2794</v>
      </c>
      <c r="H1201" s="9">
        <v>39806</v>
      </c>
    </row>
    <row r="1202" spans="6:8">
      <c r="F1202">
        <v>15903</v>
      </c>
      <c r="G1202">
        <v>657</v>
      </c>
      <c r="H1202" s="9">
        <v>39806</v>
      </c>
    </row>
    <row r="1203" spans="6:8">
      <c r="F1203">
        <v>15905</v>
      </c>
      <c r="G1203">
        <v>3131</v>
      </c>
      <c r="H1203" s="9">
        <v>39806</v>
      </c>
    </row>
    <row r="1204" spans="6:8">
      <c r="F1204">
        <v>15906</v>
      </c>
      <c r="G1204">
        <v>3994</v>
      </c>
      <c r="H1204" s="9">
        <v>39806</v>
      </c>
    </row>
    <row r="1205" spans="6:8">
      <c r="F1205">
        <v>15909</v>
      </c>
      <c r="G1205">
        <v>6068</v>
      </c>
      <c r="H1205" s="9">
        <v>39806</v>
      </c>
    </row>
    <row r="1206" spans="6:8">
      <c r="F1206">
        <v>15910</v>
      </c>
      <c r="G1206">
        <v>5211</v>
      </c>
      <c r="H1206" s="9">
        <v>39806</v>
      </c>
    </row>
    <row r="1207" spans="6:8">
      <c r="F1207">
        <v>15912</v>
      </c>
      <c r="G1207">
        <v>6069</v>
      </c>
      <c r="H1207" s="9">
        <v>39806</v>
      </c>
    </row>
    <row r="1208" spans="6:8">
      <c r="F1208">
        <v>15913</v>
      </c>
      <c r="G1208">
        <v>6070</v>
      </c>
      <c r="H1208" s="9">
        <v>39806</v>
      </c>
    </row>
    <row r="1209" spans="6:8">
      <c r="F1209">
        <v>15915</v>
      </c>
      <c r="G1209">
        <v>6071</v>
      </c>
      <c r="H1209" s="9">
        <v>39806</v>
      </c>
    </row>
    <row r="1210" spans="6:8">
      <c r="F1210">
        <v>15916</v>
      </c>
      <c r="G1210">
        <v>5777</v>
      </c>
      <c r="H1210" s="9">
        <v>39806</v>
      </c>
    </row>
    <row r="1211" spans="6:8">
      <c r="F1211">
        <v>15936</v>
      </c>
      <c r="G1211">
        <v>6072</v>
      </c>
      <c r="H1211" s="9">
        <v>39806</v>
      </c>
    </row>
    <row r="1212" spans="6:8">
      <c r="F1212">
        <v>15937</v>
      </c>
      <c r="G1212">
        <v>4009</v>
      </c>
      <c r="H1212" s="9">
        <v>39806</v>
      </c>
    </row>
    <row r="1213" spans="6:8">
      <c r="F1213">
        <v>15938</v>
      </c>
      <c r="G1213">
        <v>6073</v>
      </c>
      <c r="H1213" s="9">
        <v>39806</v>
      </c>
    </row>
    <row r="1214" spans="6:8">
      <c r="F1214">
        <v>15940</v>
      </c>
      <c r="G1214">
        <v>5979</v>
      </c>
      <c r="H1214" s="9">
        <v>39806</v>
      </c>
    </row>
    <row r="1215" spans="6:8">
      <c r="F1215">
        <v>15956</v>
      </c>
      <c r="G1215">
        <v>6074</v>
      </c>
      <c r="H1215" s="9">
        <v>39806</v>
      </c>
    </row>
    <row r="1216" spans="6:8">
      <c r="F1216">
        <v>15962</v>
      </c>
      <c r="G1216">
        <v>2232</v>
      </c>
      <c r="H1216" s="9">
        <v>39806</v>
      </c>
    </row>
    <row r="1217" spans="6:8">
      <c r="F1217">
        <v>15977</v>
      </c>
      <c r="G1217">
        <v>2117</v>
      </c>
      <c r="H1217" s="9">
        <v>39807</v>
      </c>
    </row>
    <row r="1218" spans="6:8">
      <c r="F1218">
        <v>16055</v>
      </c>
      <c r="G1218">
        <v>422</v>
      </c>
      <c r="H1218" s="9">
        <v>39808</v>
      </c>
    </row>
    <row r="1219" spans="6:8">
      <c r="F1219">
        <v>16080</v>
      </c>
      <c r="G1219">
        <v>3793</v>
      </c>
      <c r="H1219" s="9">
        <v>39808</v>
      </c>
    </row>
    <row r="1220" spans="6:8">
      <c r="F1220">
        <v>16100</v>
      </c>
      <c r="G1220">
        <v>2531</v>
      </c>
      <c r="H1220" s="9">
        <v>39809</v>
      </c>
    </row>
    <row r="1221" spans="6:8">
      <c r="F1221">
        <v>16103</v>
      </c>
      <c r="G1221">
        <v>6083</v>
      </c>
      <c r="H1221" s="9">
        <v>39808</v>
      </c>
    </row>
    <row r="1222" spans="6:8">
      <c r="F1222">
        <v>16104</v>
      </c>
      <c r="G1222">
        <v>5514</v>
      </c>
      <c r="H1222" s="9">
        <v>39808</v>
      </c>
    </row>
    <row r="1223" spans="6:8">
      <c r="F1223">
        <v>16105</v>
      </c>
      <c r="G1223">
        <v>6084</v>
      </c>
      <c r="H1223" s="9">
        <v>39808</v>
      </c>
    </row>
    <row r="1224" spans="6:8">
      <c r="F1224">
        <v>16109</v>
      </c>
      <c r="G1224">
        <v>5428</v>
      </c>
      <c r="H1224" s="9">
        <v>39808</v>
      </c>
    </row>
    <row r="1225" spans="6:8">
      <c r="F1225">
        <v>16120</v>
      </c>
      <c r="G1225">
        <v>6091</v>
      </c>
      <c r="H1225" s="9">
        <v>39808</v>
      </c>
    </row>
    <row r="1226" spans="6:8">
      <c r="F1226">
        <v>16121</v>
      </c>
      <c r="G1226">
        <v>6092</v>
      </c>
      <c r="H1226" s="9">
        <v>39808</v>
      </c>
    </row>
    <row r="1227" spans="6:8">
      <c r="F1227">
        <v>16155</v>
      </c>
      <c r="G1227">
        <v>1763</v>
      </c>
      <c r="H1227" s="9">
        <v>39809</v>
      </c>
    </row>
    <row r="1228" spans="6:8">
      <c r="F1228">
        <v>16157</v>
      </c>
      <c r="G1228">
        <v>5312</v>
      </c>
      <c r="H1228" s="9">
        <v>39812</v>
      </c>
    </row>
    <row r="1229" spans="6:8">
      <c r="F1229">
        <v>16161</v>
      </c>
      <c r="G1229">
        <v>452</v>
      </c>
      <c r="H1229" s="9">
        <v>39809</v>
      </c>
    </row>
    <row r="1230" spans="6:8">
      <c r="F1230">
        <v>16163</v>
      </c>
      <c r="G1230">
        <v>5068</v>
      </c>
      <c r="H1230" s="9">
        <v>39812</v>
      </c>
    </row>
    <row r="1231" spans="6:8">
      <c r="F1231">
        <v>16175</v>
      </c>
      <c r="G1231">
        <v>6095</v>
      </c>
      <c r="H1231" s="9">
        <v>39812</v>
      </c>
    </row>
    <row r="1232" spans="6:8">
      <c r="F1232">
        <v>16181</v>
      </c>
      <c r="G1232">
        <v>6096</v>
      </c>
      <c r="H1232" s="9">
        <v>39812</v>
      </c>
    </row>
    <row r="1233" spans="6:8">
      <c r="F1233">
        <v>16182</v>
      </c>
      <c r="G1233">
        <v>5745</v>
      </c>
      <c r="H1233" s="9">
        <v>39812</v>
      </c>
    </row>
    <row r="1234" spans="6:8">
      <c r="F1234">
        <v>16183</v>
      </c>
      <c r="G1234">
        <v>3321</v>
      </c>
      <c r="H1234" s="9">
        <v>39812</v>
      </c>
    </row>
    <row r="1235" spans="6:8">
      <c r="F1235">
        <v>16184</v>
      </c>
      <c r="G1235">
        <v>6097</v>
      </c>
      <c r="H1235" s="9">
        <v>39812</v>
      </c>
    </row>
    <row r="1236" spans="6:8">
      <c r="F1236">
        <v>16188</v>
      </c>
      <c r="G1236">
        <v>4147</v>
      </c>
      <c r="H1236" s="9">
        <v>39812</v>
      </c>
    </row>
    <row r="1237" spans="6:8">
      <c r="F1237">
        <v>16190</v>
      </c>
      <c r="G1237">
        <v>4354</v>
      </c>
      <c r="H1237" s="9">
        <v>39812</v>
      </c>
    </row>
    <row r="1238" spans="6:8">
      <c r="F1238">
        <v>16197</v>
      </c>
      <c r="G1238">
        <v>6100</v>
      </c>
      <c r="H1238" s="9">
        <v>39812</v>
      </c>
    </row>
    <row r="1239" spans="6:8">
      <c r="F1239">
        <v>16232</v>
      </c>
      <c r="G1239">
        <v>3060</v>
      </c>
      <c r="H1239" s="9">
        <v>39813</v>
      </c>
    </row>
    <row r="1240" spans="6:8">
      <c r="F1240">
        <v>16254</v>
      </c>
      <c r="G1240">
        <v>6101</v>
      </c>
      <c r="H1240" s="9">
        <v>39813</v>
      </c>
    </row>
    <row r="1241" spans="6:8">
      <c r="F1241">
        <v>16265</v>
      </c>
      <c r="G1241">
        <v>4978</v>
      </c>
      <c r="H1241" s="9">
        <v>39813</v>
      </c>
    </row>
    <row r="1242" spans="6:8">
      <c r="F1242">
        <v>16266</v>
      </c>
      <c r="G1242">
        <v>3323</v>
      </c>
      <c r="H1242" s="9">
        <v>39813</v>
      </c>
    </row>
    <row r="1243" spans="6:8">
      <c r="F1243">
        <v>16267</v>
      </c>
      <c r="G1243">
        <v>5339</v>
      </c>
      <c r="H1243" s="9">
        <v>39813</v>
      </c>
    </row>
    <row r="1244" spans="6:8">
      <c r="F1244">
        <v>16271</v>
      </c>
      <c r="G1244">
        <v>6106</v>
      </c>
      <c r="H1244" s="9">
        <v>39813</v>
      </c>
    </row>
    <row r="1245" spans="6:8">
      <c r="F1245">
        <v>16290</v>
      </c>
      <c r="G1245">
        <v>1889</v>
      </c>
      <c r="H1245" s="9">
        <v>39813</v>
      </c>
    </row>
    <row r="1246" spans="6:8">
      <c r="F1246">
        <v>16302</v>
      </c>
      <c r="G1246">
        <v>3181</v>
      </c>
      <c r="H1246" s="9">
        <v>39814</v>
      </c>
    </row>
    <row r="1247" spans="6:8">
      <c r="F1247">
        <v>16304</v>
      </c>
      <c r="G1247">
        <v>6110</v>
      </c>
      <c r="H1247" s="9">
        <v>39814</v>
      </c>
    </row>
    <row r="1248" spans="6:8">
      <c r="F1248">
        <v>16309</v>
      </c>
      <c r="G1248">
        <v>3171</v>
      </c>
      <c r="H1248" s="9">
        <v>39814</v>
      </c>
    </row>
    <row r="1249" spans="6:8">
      <c r="F1249">
        <v>16393</v>
      </c>
      <c r="G1249">
        <v>6116</v>
      </c>
      <c r="H1249" s="9">
        <v>39815</v>
      </c>
    </row>
    <row r="1250" spans="6:8">
      <c r="F1250">
        <v>16405</v>
      </c>
      <c r="G1250">
        <v>1647</v>
      </c>
      <c r="H1250" s="9">
        <v>39815</v>
      </c>
    </row>
    <row r="1251" spans="6:8">
      <c r="F1251">
        <v>16435</v>
      </c>
      <c r="G1251">
        <v>5184</v>
      </c>
      <c r="H1251" s="9">
        <v>39816</v>
      </c>
    </row>
    <row r="1252" spans="6:8">
      <c r="F1252">
        <v>16440</v>
      </c>
      <c r="G1252">
        <v>6117</v>
      </c>
      <c r="H1252" s="9">
        <v>39815</v>
      </c>
    </row>
    <row r="1253" spans="6:8">
      <c r="F1253">
        <v>16443</v>
      </c>
      <c r="G1253">
        <v>3325</v>
      </c>
      <c r="H1253" s="9">
        <v>39816</v>
      </c>
    </row>
    <row r="1254" spans="6:8">
      <c r="F1254">
        <v>16445</v>
      </c>
      <c r="G1254">
        <v>6119</v>
      </c>
      <c r="H1254" s="9">
        <v>39816</v>
      </c>
    </row>
    <row r="1255" spans="6:8">
      <c r="F1255">
        <v>16446</v>
      </c>
      <c r="G1255">
        <v>3324</v>
      </c>
      <c r="H1255" s="9">
        <v>39816</v>
      </c>
    </row>
    <row r="1256" spans="6:8">
      <c r="F1256">
        <v>16447</v>
      </c>
      <c r="G1256">
        <v>6120</v>
      </c>
      <c r="H1256" s="9">
        <v>39816</v>
      </c>
    </row>
    <row r="1257" spans="6:8">
      <c r="F1257">
        <v>16448</v>
      </c>
      <c r="G1257">
        <v>5031</v>
      </c>
      <c r="H1257" s="9">
        <v>39816</v>
      </c>
    </row>
    <row r="1258" spans="6:8">
      <c r="F1258">
        <v>16449</v>
      </c>
      <c r="G1258">
        <v>5337</v>
      </c>
      <c r="H1258" s="9">
        <v>39816</v>
      </c>
    </row>
    <row r="1259" spans="6:8">
      <c r="F1259">
        <v>16453</v>
      </c>
      <c r="G1259">
        <v>4256</v>
      </c>
      <c r="H1259" s="9">
        <v>39816</v>
      </c>
    </row>
    <row r="1260" spans="6:8">
      <c r="F1260">
        <v>16579</v>
      </c>
      <c r="G1260">
        <v>5557</v>
      </c>
      <c r="H1260" s="9">
        <v>39820</v>
      </c>
    </row>
    <row r="1261" spans="6:8">
      <c r="F1261">
        <v>16598</v>
      </c>
      <c r="G1261">
        <v>6127</v>
      </c>
      <c r="H1261" s="9">
        <v>39821</v>
      </c>
    </row>
    <row r="1262" spans="6:8">
      <c r="F1262">
        <v>16599</v>
      </c>
      <c r="G1262">
        <v>6128</v>
      </c>
      <c r="H1262" s="9">
        <v>39821</v>
      </c>
    </row>
    <row r="1263" spans="6:8">
      <c r="F1263">
        <v>16600</v>
      </c>
      <c r="G1263">
        <v>6129</v>
      </c>
      <c r="H1263" s="9">
        <v>39821</v>
      </c>
    </row>
    <row r="1264" spans="6:8">
      <c r="F1264">
        <v>16601</v>
      </c>
      <c r="G1264">
        <v>5781</v>
      </c>
      <c r="H1264" s="9">
        <v>39821</v>
      </c>
    </row>
    <row r="1265" spans="6:8">
      <c r="F1265">
        <v>16602</v>
      </c>
      <c r="G1265">
        <v>4164</v>
      </c>
      <c r="H1265" s="9">
        <v>39821</v>
      </c>
    </row>
    <row r="1266" spans="6:8">
      <c r="F1266">
        <v>16603</v>
      </c>
      <c r="G1266">
        <v>6130</v>
      </c>
      <c r="H1266" s="9">
        <v>39821</v>
      </c>
    </row>
    <row r="1267" spans="6:8">
      <c r="F1267">
        <v>16604</v>
      </c>
      <c r="G1267">
        <v>6131</v>
      </c>
      <c r="H1267" s="9">
        <v>39821</v>
      </c>
    </row>
    <row r="1268" spans="6:8">
      <c r="F1268">
        <v>16605</v>
      </c>
      <c r="G1268">
        <v>6133</v>
      </c>
      <c r="H1268" s="9">
        <v>39821</v>
      </c>
    </row>
    <row r="1269" spans="6:8">
      <c r="F1269">
        <v>16636</v>
      </c>
      <c r="G1269">
        <v>6134</v>
      </c>
      <c r="H1269" s="9">
        <v>39821</v>
      </c>
    </row>
    <row r="1270" spans="6:8">
      <c r="F1270">
        <v>16637</v>
      </c>
      <c r="G1270">
        <v>6135</v>
      </c>
      <c r="H1270" s="9">
        <v>39821</v>
      </c>
    </row>
    <row r="1271" spans="6:8">
      <c r="F1271">
        <v>16638</v>
      </c>
      <c r="G1271">
        <v>6136</v>
      </c>
      <c r="H1271" s="9">
        <v>39821</v>
      </c>
    </row>
    <row r="1272" spans="6:8">
      <c r="F1272">
        <v>16639</v>
      </c>
      <c r="G1272">
        <v>6137</v>
      </c>
      <c r="H1272" s="9">
        <v>39821</v>
      </c>
    </row>
    <row r="1273" spans="6:8">
      <c r="F1273">
        <v>16640</v>
      </c>
      <c r="G1273">
        <v>6129</v>
      </c>
      <c r="H1273" s="9">
        <v>39821</v>
      </c>
    </row>
    <row r="1274" spans="6:8">
      <c r="F1274">
        <v>16641</v>
      </c>
      <c r="G1274">
        <v>6138</v>
      </c>
      <c r="H1274" s="9">
        <v>39821</v>
      </c>
    </row>
    <row r="1275" spans="6:8">
      <c r="F1275">
        <v>16679</v>
      </c>
      <c r="G1275">
        <v>4143</v>
      </c>
      <c r="H1275" s="9">
        <v>39823</v>
      </c>
    </row>
    <row r="1276" spans="6:8">
      <c r="F1276">
        <v>16692</v>
      </c>
      <c r="G1276">
        <v>821</v>
      </c>
      <c r="H1276" s="9">
        <v>39823</v>
      </c>
    </row>
    <row r="1277" spans="6:8">
      <c r="F1277">
        <v>16708</v>
      </c>
      <c r="G1277">
        <v>4624</v>
      </c>
      <c r="H1277" s="9">
        <v>39826</v>
      </c>
    </row>
    <row r="1278" spans="6:8">
      <c r="F1278">
        <v>16728</v>
      </c>
      <c r="G1278">
        <v>5875</v>
      </c>
      <c r="H1278" s="9">
        <v>39826</v>
      </c>
    </row>
    <row r="1279" spans="6:8">
      <c r="F1279">
        <v>16733</v>
      </c>
      <c r="G1279">
        <v>116</v>
      </c>
      <c r="H1279" s="9">
        <v>39826</v>
      </c>
    </row>
    <row r="1280" spans="6:8">
      <c r="F1280">
        <v>16739</v>
      </c>
      <c r="G1280">
        <v>3462</v>
      </c>
      <c r="H1280" s="9">
        <v>39826</v>
      </c>
    </row>
    <row r="1281" spans="6:8">
      <c r="F1281">
        <v>16742</v>
      </c>
      <c r="G1281">
        <v>4199</v>
      </c>
      <c r="H1281" s="9">
        <v>39826</v>
      </c>
    </row>
    <row r="1282" spans="6:8">
      <c r="F1282">
        <v>16764</v>
      </c>
      <c r="G1282">
        <v>6147</v>
      </c>
      <c r="H1282" s="9">
        <v>39827</v>
      </c>
    </row>
    <row r="1283" spans="6:8">
      <c r="F1283">
        <v>16773</v>
      </c>
      <c r="G1283">
        <v>6152</v>
      </c>
      <c r="H1283" s="9">
        <v>39827</v>
      </c>
    </row>
    <row r="1284" spans="6:8">
      <c r="F1284">
        <v>16840</v>
      </c>
      <c r="G1284">
        <v>1214</v>
      </c>
      <c r="H1284" s="9">
        <v>39828</v>
      </c>
    </row>
    <row r="1285" spans="6:8">
      <c r="F1285">
        <v>16859</v>
      </c>
      <c r="G1285">
        <v>3782</v>
      </c>
      <c r="H1285" s="9">
        <v>39828</v>
      </c>
    </row>
    <row r="1286" spans="6:8">
      <c r="F1286">
        <v>16861</v>
      </c>
      <c r="G1286">
        <v>6154</v>
      </c>
      <c r="H1286" s="9">
        <v>39828</v>
      </c>
    </row>
    <row r="1287" spans="6:8">
      <c r="F1287">
        <v>16862</v>
      </c>
      <c r="G1287">
        <v>6155</v>
      </c>
      <c r="H1287" s="9">
        <v>39828</v>
      </c>
    </row>
    <row r="1288" spans="6:8">
      <c r="F1288">
        <v>16874</v>
      </c>
      <c r="G1288">
        <v>3169</v>
      </c>
      <c r="H1288" s="9">
        <v>39828</v>
      </c>
    </row>
    <row r="1289" spans="6:8">
      <c r="F1289">
        <v>16877</v>
      </c>
      <c r="G1289">
        <v>3662</v>
      </c>
      <c r="H1289" s="9">
        <v>39828</v>
      </c>
    </row>
    <row r="1290" spans="6:8">
      <c r="F1290">
        <v>16879</v>
      </c>
      <c r="G1290">
        <v>3121</v>
      </c>
      <c r="H1290" s="9">
        <v>39828</v>
      </c>
    </row>
    <row r="1291" spans="6:8">
      <c r="F1291">
        <v>16907</v>
      </c>
      <c r="G1291">
        <v>5889</v>
      </c>
      <c r="H1291" s="9">
        <v>39829</v>
      </c>
    </row>
    <row r="1292" spans="6:8">
      <c r="F1292">
        <v>16977</v>
      </c>
      <c r="G1292">
        <v>1653</v>
      </c>
      <c r="H1292" s="9">
        <v>39830</v>
      </c>
    </row>
    <row r="1293" spans="6:8">
      <c r="F1293">
        <v>16984</v>
      </c>
      <c r="G1293">
        <v>1689</v>
      </c>
      <c r="H1293" s="9">
        <v>39830</v>
      </c>
    </row>
    <row r="1294" spans="6:8">
      <c r="F1294">
        <v>16999</v>
      </c>
      <c r="G1294">
        <v>6163</v>
      </c>
      <c r="H1294" s="9">
        <v>39833</v>
      </c>
    </row>
    <row r="1295" spans="6:8">
      <c r="F1295">
        <v>17002</v>
      </c>
      <c r="G1295">
        <v>6164</v>
      </c>
      <c r="H1295" s="9">
        <v>39833</v>
      </c>
    </row>
    <row r="1296" spans="6:8">
      <c r="F1296">
        <v>17003</v>
      </c>
      <c r="G1296">
        <v>6165</v>
      </c>
      <c r="H1296" s="9">
        <v>39833</v>
      </c>
    </row>
    <row r="1297" spans="6:8">
      <c r="F1297">
        <v>17009</v>
      </c>
      <c r="G1297">
        <v>6166</v>
      </c>
      <c r="H1297" s="9">
        <v>39833</v>
      </c>
    </row>
    <row r="1298" spans="6:8">
      <c r="F1298">
        <v>17013</v>
      </c>
      <c r="G1298">
        <v>6167</v>
      </c>
      <c r="H1298" s="9">
        <v>39833</v>
      </c>
    </row>
    <row r="1299" spans="6:8">
      <c r="F1299">
        <v>17016</v>
      </c>
      <c r="G1299">
        <v>6168</v>
      </c>
      <c r="H1299" s="9">
        <v>39833</v>
      </c>
    </row>
    <row r="1300" spans="6:8">
      <c r="F1300">
        <v>17017</v>
      </c>
      <c r="G1300">
        <v>6169</v>
      </c>
      <c r="H1300" s="9">
        <v>39833</v>
      </c>
    </row>
    <row r="1301" spans="6:8">
      <c r="F1301">
        <v>17018</v>
      </c>
      <c r="G1301">
        <v>6170</v>
      </c>
      <c r="H1301" s="9">
        <v>39833</v>
      </c>
    </row>
    <row r="1302" spans="6:8">
      <c r="F1302">
        <v>17019</v>
      </c>
      <c r="G1302">
        <v>4897</v>
      </c>
      <c r="H1302" s="9">
        <v>39833</v>
      </c>
    </row>
    <row r="1303" spans="6:8">
      <c r="F1303">
        <v>17029</v>
      </c>
      <c r="G1303">
        <v>2662</v>
      </c>
      <c r="H1303" s="9">
        <v>39833</v>
      </c>
    </row>
    <row r="1304" spans="6:8">
      <c r="F1304">
        <v>17046</v>
      </c>
      <c r="G1304">
        <v>3329</v>
      </c>
      <c r="H1304" s="9">
        <v>39834</v>
      </c>
    </row>
    <row r="1305" spans="6:8">
      <c r="F1305">
        <v>17049</v>
      </c>
      <c r="G1305">
        <v>3322</v>
      </c>
      <c r="H1305" s="9">
        <v>39834</v>
      </c>
    </row>
    <row r="1306" spans="6:8">
      <c r="F1306">
        <v>17054</v>
      </c>
      <c r="G1306">
        <v>5719</v>
      </c>
      <c r="H1306" s="9">
        <v>39834</v>
      </c>
    </row>
    <row r="1307" spans="6:8">
      <c r="F1307">
        <v>17056</v>
      </c>
      <c r="G1307">
        <v>3990</v>
      </c>
      <c r="H1307" s="9">
        <v>39834</v>
      </c>
    </row>
    <row r="1308" spans="6:8">
      <c r="F1308">
        <v>17082</v>
      </c>
      <c r="G1308">
        <v>224</v>
      </c>
      <c r="H1308" s="9">
        <v>39835</v>
      </c>
    </row>
    <row r="1309" spans="6:8">
      <c r="F1309">
        <v>17125</v>
      </c>
      <c r="G1309">
        <v>5134</v>
      </c>
      <c r="H1309" s="9">
        <v>39835</v>
      </c>
    </row>
    <row r="1310" spans="6:8">
      <c r="F1310">
        <v>17130</v>
      </c>
      <c r="G1310">
        <v>3665</v>
      </c>
      <c r="H1310" s="9">
        <v>39835</v>
      </c>
    </row>
    <row r="1311" spans="6:8">
      <c r="F1311">
        <v>17150</v>
      </c>
      <c r="G1311">
        <v>5774</v>
      </c>
      <c r="H1311" s="9">
        <v>39835</v>
      </c>
    </row>
    <row r="1312" spans="6:8">
      <c r="F1312">
        <v>17162</v>
      </c>
      <c r="G1312">
        <v>5250</v>
      </c>
      <c r="H1312" s="9">
        <v>39835</v>
      </c>
    </row>
    <row r="1313" spans="6:8">
      <c r="F1313">
        <v>17171</v>
      </c>
      <c r="G1313">
        <v>3308</v>
      </c>
      <c r="H1313" s="9">
        <v>39835</v>
      </c>
    </row>
    <row r="1314" spans="6:8">
      <c r="F1314">
        <v>17174</v>
      </c>
      <c r="G1314">
        <v>3312</v>
      </c>
      <c r="H1314" s="9">
        <v>39835</v>
      </c>
    </row>
    <row r="1315" spans="6:8">
      <c r="F1315">
        <v>17175</v>
      </c>
      <c r="G1315">
        <v>3240</v>
      </c>
      <c r="H1315" s="9">
        <v>39835</v>
      </c>
    </row>
    <row r="1316" spans="6:8">
      <c r="F1316">
        <v>17176</v>
      </c>
      <c r="G1316">
        <v>5741</v>
      </c>
      <c r="H1316" s="9">
        <v>39835</v>
      </c>
    </row>
    <row r="1317" spans="6:8">
      <c r="F1317">
        <v>17177</v>
      </c>
      <c r="G1317">
        <v>5064</v>
      </c>
      <c r="H1317" s="9">
        <v>39835</v>
      </c>
    </row>
    <row r="1318" spans="6:8">
      <c r="F1318">
        <v>17179</v>
      </c>
      <c r="G1318">
        <v>5052</v>
      </c>
      <c r="H1318" s="9">
        <v>39835</v>
      </c>
    </row>
    <row r="1319" spans="6:8">
      <c r="F1319">
        <v>17187</v>
      </c>
      <c r="G1319">
        <v>6183</v>
      </c>
      <c r="H1319" s="9">
        <v>39835</v>
      </c>
    </row>
    <row r="1320" spans="6:8">
      <c r="F1320">
        <v>17241</v>
      </c>
      <c r="G1320">
        <v>960</v>
      </c>
      <c r="H1320" s="9">
        <v>39836</v>
      </c>
    </row>
    <row r="1321" spans="6:8">
      <c r="F1321">
        <v>17245</v>
      </c>
      <c r="G1321">
        <v>6189</v>
      </c>
      <c r="H1321" s="9">
        <v>39836</v>
      </c>
    </row>
    <row r="1322" spans="6:8">
      <c r="F1322">
        <v>17246</v>
      </c>
      <c r="G1322">
        <v>5984</v>
      </c>
      <c r="H1322" s="9">
        <v>39836</v>
      </c>
    </row>
    <row r="1323" spans="6:8">
      <c r="F1323">
        <v>17249</v>
      </c>
      <c r="G1323">
        <v>4305</v>
      </c>
      <c r="H1323" s="9">
        <v>39836</v>
      </c>
    </row>
    <row r="1324" spans="6:8">
      <c r="F1324">
        <v>17250</v>
      </c>
      <c r="G1324">
        <v>4098</v>
      </c>
      <c r="H1324" s="9">
        <v>39836</v>
      </c>
    </row>
    <row r="1325" spans="6:8">
      <c r="F1325">
        <v>17258</v>
      </c>
      <c r="G1325">
        <v>5585</v>
      </c>
      <c r="H1325" s="9">
        <v>39836</v>
      </c>
    </row>
    <row r="1326" spans="6:8">
      <c r="F1326">
        <v>17259</v>
      </c>
      <c r="G1326">
        <v>6191</v>
      </c>
      <c r="H1326" s="9">
        <v>39836</v>
      </c>
    </row>
    <row r="1327" spans="6:8">
      <c r="F1327">
        <v>17262</v>
      </c>
      <c r="G1327">
        <v>2024</v>
      </c>
      <c r="H1327" s="9">
        <v>39836</v>
      </c>
    </row>
    <row r="1328" spans="6:8">
      <c r="F1328">
        <v>17313</v>
      </c>
      <c r="G1328">
        <v>777</v>
      </c>
      <c r="H1328" s="9">
        <v>39837</v>
      </c>
    </row>
    <row r="1329" spans="6:8">
      <c r="F1329">
        <v>17336</v>
      </c>
      <c r="G1329">
        <v>917</v>
      </c>
      <c r="H1329" s="9">
        <v>39837</v>
      </c>
    </row>
    <row r="1330" spans="6:8">
      <c r="F1330">
        <v>17346</v>
      </c>
      <c r="G1330">
        <v>2063</v>
      </c>
      <c r="H1330" s="9">
        <v>39837</v>
      </c>
    </row>
    <row r="1331" spans="6:8">
      <c r="F1331">
        <v>17353</v>
      </c>
      <c r="G1331">
        <v>818</v>
      </c>
      <c r="H1331" s="9">
        <v>39837</v>
      </c>
    </row>
    <row r="1332" spans="6:8">
      <c r="F1332">
        <v>17357</v>
      </c>
      <c r="G1332">
        <v>6197</v>
      </c>
      <c r="H1332" s="9">
        <v>39837</v>
      </c>
    </row>
    <row r="1333" spans="6:8">
      <c r="F1333">
        <v>17358</v>
      </c>
      <c r="G1333">
        <v>6198</v>
      </c>
      <c r="H1333" s="9">
        <v>39837</v>
      </c>
    </row>
    <row r="1334" spans="6:8">
      <c r="F1334">
        <v>17359</v>
      </c>
      <c r="G1334">
        <v>4377</v>
      </c>
      <c r="H1334" s="9">
        <v>39837</v>
      </c>
    </row>
    <row r="1335" spans="6:8">
      <c r="F1335">
        <v>17360</v>
      </c>
      <c r="G1335">
        <v>6199</v>
      </c>
      <c r="H1335" s="9">
        <v>39837</v>
      </c>
    </row>
    <row r="1336" spans="6:8">
      <c r="F1336">
        <v>17361</v>
      </c>
      <c r="G1336">
        <v>6200</v>
      </c>
      <c r="H1336" s="9">
        <v>39837</v>
      </c>
    </row>
    <row r="1337" spans="6:8">
      <c r="F1337">
        <v>17362</v>
      </c>
      <c r="G1337">
        <v>6201</v>
      </c>
      <c r="H1337" s="9">
        <v>39837</v>
      </c>
    </row>
    <row r="1338" spans="6:8">
      <c r="F1338">
        <v>17363</v>
      </c>
      <c r="G1338">
        <v>4877</v>
      </c>
      <c r="H1338" s="9">
        <v>39837</v>
      </c>
    </row>
    <row r="1339" spans="6:8">
      <c r="F1339">
        <v>17365</v>
      </c>
      <c r="G1339">
        <v>4877</v>
      </c>
      <c r="H1339" s="9">
        <v>39837</v>
      </c>
    </row>
    <row r="1340" spans="6:8">
      <c r="F1340">
        <v>17381</v>
      </c>
      <c r="G1340">
        <v>2406</v>
      </c>
      <c r="H1340" s="9">
        <v>39838</v>
      </c>
    </row>
    <row r="1341" spans="6:8">
      <c r="F1341">
        <v>17400</v>
      </c>
      <c r="G1341">
        <v>5460</v>
      </c>
      <c r="H1341" s="9">
        <v>39840</v>
      </c>
    </row>
    <row r="1342" spans="6:8">
      <c r="F1342">
        <v>17401</v>
      </c>
      <c r="G1342">
        <v>6202</v>
      </c>
      <c r="H1342" s="9">
        <v>39840</v>
      </c>
    </row>
    <row r="1343" spans="6:8">
      <c r="F1343">
        <v>17406</v>
      </c>
      <c r="G1343">
        <v>1720</v>
      </c>
      <c r="H1343" s="9">
        <v>39840</v>
      </c>
    </row>
    <row r="1344" spans="6:8">
      <c r="F1344">
        <v>17409</v>
      </c>
      <c r="G1344">
        <v>826</v>
      </c>
      <c r="H1344" s="9">
        <v>39840</v>
      </c>
    </row>
    <row r="1345" spans="6:8">
      <c r="F1345">
        <v>17417</v>
      </c>
      <c r="G1345">
        <v>563</v>
      </c>
      <c r="H1345" s="9">
        <v>39841</v>
      </c>
    </row>
    <row r="1346" spans="6:8">
      <c r="F1346">
        <v>17422</v>
      </c>
      <c r="G1346">
        <v>6203</v>
      </c>
      <c r="H1346" s="9">
        <v>39841</v>
      </c>
    </row>
    <row r="1347" spans="6:8">
      <c r="F1347">
        <v>17430</v>
      </c>
      <c r="G1347">
        <v>5988</v>
      </c>
      <c r="H1347" s="9">
        <v>39841</v>
      </c>
    </row>
    <row r="1348" spans="6:8">
      <c r="F1348">
        <v>17505</v>
      </c>
      <c r="G1348">
        <v>6205</v>
      </c>
      <c r="H1348" s="9">
        <v>39842</v>
      </c>
    </row>
    <row r="1349" spans="6:8">
      <c r="F1349">
        <v>17514</v>
      </c>
      <c r="G1349">
        <v>5748</v>
      </c>
      <c r="H1349" s="9">
        <v>39843</v>
      </c>
    </row>
    <row r="1350" spans="6:8">
      <c r="F1350">
        <v>17516</v>
      </c>
      <c r="G1350">
        <v>6206</v>
      </c>
      <c r="H1350" s="9">
        <v>39843</v>
      </c>
    </row>
    <row r="1351" spans="6:8">
      <c r="F1351">
        <v>17517</v>
      </c>
      <c r="G1351">
        <v>6207</v>
      </c>
      <c r="H1351" s="9">
        <v>39843</v>
      </c>
    </row>
    <row r="1352" spans="6:8">
      <c r="F1352">
        <v>17523</v>
      </c>
      <c r="G1352">
        <v>6208</v>
      </c>
      <c r="H1352" s="9">
        <v>39843</v>
      </c>
    </row>
    <row r="1353" spans="6:8">
      <c r="F1353">
        <v>17538</v>
      </c>
      <c r="G1353">
        <v>2426</v>
      </c>
      <c r="H1353" s="9">
        <v>39843</v>
      </c>
    </row>
    <row r="1354" spans="6:8">
      <c r="F1354">
        <v>17545</v>
      </c>
      <c r="G1354">
        <v>6211</v>
      </c>
      <c r="H1354" s="9">
        <v>39843</v>
      </c>
    </row>
    <row r="1355" spans="6:8">
      <c r="F1355">
        <v>17566</v>
      </c>
      <c r="G1355">
        <v>3132</v>
      </c>
      <c r="H1355" s="9">
        <v>39843</v>
      </c>
    </row>
    <row r="1356" spans="6:8">
      <c r="F1356">
        <v>17569</v>
      </c>
      <c r="G1356">
        <v>4383</v>
      </c>
      <c r="H1356" s="9">
        <v>39843</v>
      </c>
    </row>
    <row r="1357" spans="6:8">
      <c r="F1357">
        <v>17571</v>
      </c>
      <c r="G1357">
        <v>4980</v>
      </c>
      <c r="H1357" s="9">
        <v>39843</v>
      </c>
    </row>
    <row r="1358" spans="6:8">
      <c r="F1358">
        <v>17572</v>
      </c>
      <c r="G1358">
        <v>5746</v>
      </c>
      <c r="H1358" s="9">
        <v>39843</v>
      </c>
    </row>
    <row r="1359" spans="6:8">
      <c r="F1359">
        <v>17641</v>
      </c>
      <c r="G1359">
        <v>1422</v>
      </c>
      <c r="H1359" s="9">
        <v>39844</v>
      </c>
    </row>
    <row r="1360" spans="6:8">
      <c r="F1360">
        <v>17653</v>
      </c>
      <c r="G1360">
        <v>4421</v>
      </c>
      <c r="H1360" s="9">
        <v>39844</v>
      </c>
    </row>
    <row r="1361" spans="6:8">
      <c r="F1361">
        <v>17655</v>
      </c>
      <c r="G1361">
        <v>5845</v>
      </c>
      <c r="H1361" s="9">
        <v>39844</v>
      </c>
    </row>
    <row r="1362" spans="6:8">
      <c r="F1362">
        <v>17664</v>
      </c>
      <c r="G1362">
        <v>5869</v>
      </c>
      <c r="H1362" s="9">
        <v>39844</v>
      </c>
    </row>
    <row r="1363" spans="6:8">
      <c r="F1363">
        <v>17679</v>
      </c>
      <c r="G1363">
        <v>6222</v>
      </c>
      <c r="H1363" s="9">
        <v>39844</v>
      </c>
    </row>
    <row r="1364" spans="6:8">
      <c r="F1364">
        <v>17780</v>
      </c>
      <c r="G1364">
        <v>1143</v>
      </c>
      <c r="H1364" s="9">
        <v>39845</v>
      </c>
    </row>
    <row r="1365" spans="6:8">
      <c r="F1365">
        <v>17782</v>
      </c>
      <c r="G1365">
        <v>3151</v>
      </c>
      <c r="H1365" s="9">
        <v>39847</v>
      </c>
    </row>
    <row r="1366" spans="6:8">
      <c r="F1366">
        <v>17784</v>
      </c>
      <c r="G1366">
        <v>5289</v>
      </c>
      <c r="H1366" s="9">
        <v>39847</v>
      </c>
    </row>
    <row r="1367" spans="6:8">
      <c r="F1367">
        <v>17787</v>
      </c>
      <c r="G1367">
        <v>6196</v>
      </c>
      <c r="H1367" s="9">
        <v>39847</v>
      </c>
    </row>
    <row r="1368" spans="6:8">
      <c r="F1368">
        <v>17788</v>
      </c>
      <c r="G1368">
        <v>6099</v>
      </c>
      <c r="H1368" s="9">
        <v>39847</v>
      </c>
    </row>
    <row r="1369" spans="6:8">
      <c r="F1369">
        <v>17789</v>
      </c>
      <c r="G1369">
        <v>3969</v>
      </c>
      <c r="H1369" s="9">
        <v>39847</v>
      </c>
    </row>
    <row r="1370" spans="6:8">
      <c r="F1370">
        <v>17793</v>
      </c>
      <c r="G1370">
        <v>2066</v>
      </c>
      <c r="H1370" s="9">
        <v>39847</v>
      </c>
    </row>
    <row r="1371" spans="6:8">
      <c r="F1371">
        <v>17819</v>
      </c>
      <c r="G1371">
        <v>2649</v>
      </c>
      <c r="H1371" s="9">
        <v>39848</v>
      </c>
    </row>
    <row r="1372" spans="6:8">
      <c r="F1372">
        <v>17873</v>
      </c>
      <c r="G1372">
        <v>5890</v>
      </c>
      <c r="H1372" s="9">
        <v>39849</v>
      </c>
    </row>
    <row r="1373" spans="6:8">
      <c r="F1373">
        <v>17891</v>
      </c>
      <c r="G1373">
        <v>1739</v>
      </c>
      <c r="H1373" s="9">
        <v>39849</v>
      </c>
    </row>
    <row r="1374" spans="6:8">
      <c r="F1374">
        <v>17899</v>
      </c>
      <c r="G1374">
        <v>6230</v>
      </c>
      <c r="H1374" s="9">
        <v>39849</v>
      </c>
    </row>
    <row r="1375" spans="6:8">
      <c r="F1375">
        <v>17900</v>
      </c>
      <c r="G1375">
        <v>3680</v>
      </c>
      <c r="H1375" s="9">
        <v>39849</v>
      </c>
    </row>
    <row r="1376" spans="6:8">
      <c r="F1376">
        <v>17903</v>
      </c>
      <c r="G1376">
        <v>6231</v>
      </c>
      <c r="H1376" s="9">
        <v>39849</v>
      </c>
    </row>
    <row r="1377" spans="6:8">
      <c r="F1377">
        <v>17906</v>
      </c>
      <c r="G1377">
        <v>5814</v>
      </c>
      <c r="H1377" s="9">
        <v>39849</v>
      </c>
    </row>
    <row r="1378" spans="6:8">
      <c r="F1378">
        <v>17907</v>
      </c>
      <c r="G1378">
        <v>5809</v>
      </c>
      <c r="H1378" s="9">
        <v>39849</v>
      </c>
    </row>
    <row r="1379" spans="6:8">
      <c r="F1379">
        <v>17908</v>
      </c>
      <c r="G1379">
        <v>6232</v>
      </c>
      <c r="H1379" s="9">
        <v>39849</v>
      </c>
    </row>
    <row r="1380" spans="6:8">
      <c r="F1380">
        <v>17914</v>
      </c>
      <c r="G1380">
        <v>1949</v>
      </c>
      <c r="H1380" s="9">
        <v>39849</v>
      </c>
    </row>
    <row r="1381" spans="6:8">
      <c r="F1381">
        <v>17921</v>
      </c>
      <c r="G1381">
        <v>6233</v>
      </c>
      <c r="H1381" s="9">
        <v>39849</v>
      </c>
    </row>
    <row r="1382" spans="6:8">
      <c r="F1382">
        <v>17944</v>
      </c>
      <c r="G1382">
        <v>832</v>
      </c>
      <c r="H1382" s="9">
        <v>39850</v>
      </c>
    </row>
    <row r="1383" spans="6:8">
      <c r="F1383">
        <v>17946</v>
      </c>
      <c r="G1383">
        <v>1866</v>
      </c>
      <c r="H1383" s="9">
        <v>39850</v>
      </c>
    </row>
    <row r="1384" spans="6:8">
      <c r="F1384">
        <v>17958</v>
      </c>
      <c r="G1384">
        <v>1192</v>
      </c>
      <c r="H1384" s="9">
        <v>39850</v>
      </c>
    </row>
    <row r="1385" spans="6:8">
      <c r="F1385">
        <v>18021</v>
      </c>
      <c r="G1385">
        <v>6239</v>
      </c>
      <c r="H1385" s="9">
        <v>39854</v>
      </c>
    </row>
    <row r="1386" spans="6:8">
      <c r="F1386">
        <v>18028</v>
      </c>
      <c r="G1386">
        <v>4266</v>
      </c>
      <c r="H1386" s="9">
        <v>39854</v>
      </c>
    </row>
    <row r="1387" spans="6:8">
      <c r="F1387">
        <v>18042</v>
      </c>
      <c r="G1387">
        <v>1239</v>
      </c>
      <c r="H1387" s="9">
        <v>39855</v>
      </c>
    </row>
    <row r="1388" spans="6:8">
      <c r="F1388">
        <v>18056</v>
      </c>
      <c r="G1388">
        <v>6242</v>
      </c>
      <c r="H1388" s="9">
        <v>39855</v>
      </c>
    </row>
    <row r="1389" spans="6:8">
      <c r="F1389">
        <v>18057</v>
      </c>
      <c r="G1389">
        <v>6243</v>
      </c>
      <c r="H1389" s="9">
        <v>39855</v>
      </c>
    </row>
    <row r="1390" spans="6:8">
      <c r="F1390">
        <v>18059</v>
      </c>
      <c r="G1390">
        <v>6245</v>
      </c>
      <c r="H1390" s="9">
        <v>39855</v>
      </c>
    </row>
    <row r="1391" spans="6:8">
      <c r="F1391">
        <v>18109</v>
      </c>
      <c r="G1391">
        <v>3697</v>
      </c>
      <c r="H1391" s="9">
        <v>39855</v>
      </c>
    </row>
    <row r="1392" spans="6:8">
      <c r="F1392">
        <v>18110</v>
      </c>
      <c r="G1392">
        <v>5247</v>
      </c>
      <c r="H1392" s="9">
        <v>39855</v>
      </c>
    </row>
    <row r="1393" spans="6:8">
      <c r="F1393">
        <v>18119</v>
      </c>
      <c r="G1393">
        <v>2616</v>
      </c>
      <c r="H1393" s="9">
        <v>39855</v>
      </c>
    </row>
    <row r="1394" spans="6:8">
      <c r="F1394">
        <v>18127</v>
      </c>
      <c r="G1394">
        <v>4471</v>
      </c>
      <c r="H1394" s="9">
        <v>39855</v>
      </c>
    </row>
    <row r="1395" spans="6:8">
      <c r="F1395">
        <v>18128</v>
      </c>
      <c r="G1395">
        <v>2740</v>
      </c>
      <c r="H1395" s="9">
        <v>39855</v>
      </c>
    </row>
    <row r="1396" spans="6:8">
      <c r="F1396">
        <v>18152</v>
      </c>
      <c r="G1396">
        <v>6247</v>
      </c>
      <c r="H1396" s="9">
        <v>39855</v>
      </c>
    </row>
    <row r="1397" spans="6:8">
      <c r="F1397">
        <v>18157</v>
      </c>
      <c r="G1397">
        <v>5708</v>
      </c>
      <c r="H1397" s="9">
        <v>39856</v>
      </c>
    </row>
    <row r="1398" spans="6:8">
      <c r="F1398">
        <v>18158</v>
      </c>
      <c r="G1398">
        <v>5044</v>
      </c>
      <c r="H1398" s="9">
        <v>39856</v>
      </c>
    </row>
    <row r="1399" spans="6:8">
      <c r="F1399">
        <v>18159</v>
      </c>
      <c r="G1399">
        <v>6248</v>
      </c>
      <c r="H1399" s="9">
        <v>39855</v>
      </c>
    </row>
    <row r="1400" spans="6:8">
      <c r="F1400">
        <v>18161</v>
      </c>
      <c r="G1400">
        <v>6249</v>
      </c>
      <c r="H1400" s="9">
        <v>39856</v>
      </c>
    </row>
    <row r="1401" spans="6:8">
      <c r="F1401">
        <v>18162</v>
      </c>
      <c r="G1401">
        <v>6251</v>
      </c>
      <c r="H1401" s="9">
        <v>39855</v>
      </c>
    </row>
    <row r="1402" spans="6:8">
      <c r="F1402">
        <v>18164</v>
      </c>
      <c r="G1402">
        <v>6252</v>
      </c>
      <c r="H1402" s="9">
        <v>39855</v>
      </c>
    </row>
    <row r="1403" spans="6:8">
      <c r="F1403">
        <v>18165</v>
      </c>
      <c r="G1403">
        <v>6253</v>
      </c>
      <c r="H1403" s="9">
        <v>39861</v>
      </c>
    </row>
    <row r="1404" spans="6:8">
      <c r="F1404">
        <v>18166</v>
      </c>
      <c r="G1404">
        <v>6254</v>
      </c>
      <c r="H1404" s="9">
        <v>39856</v>
      </c>
    </row>
    <row r="1405" spans="6:8">
      <c r="F1405">
        <v>18168</v>
      </c>
      <c r="G1405">
        <v>6255</v>
      </c>
      <c r="H1405" s="9">
        <v>39856</v>
      </c>
    </row>
    <row r="1406" spans="6:8">
      <c r="F1406">
        <v>18169</v>
      </c>
      <c r="G1406">
        <v>3996</v>
      </c>
      <c r="H1406" s="9">
        <v>39855</v>
      </c>
    </row>
    <row r="1407" spans="6:8">
      <c r="F1407">
        <v>18170</v>
      </c>
      <c r="G1407">
        <v>5800</v>
      </c>
      <c r="H1407" s="9">
        <v>39855</v>
      </c>
    </row>
    <row r="1408" spans="6:8">
      <c r="F1408">
        <v>18176</v>
      </c>
      <c r="G1408">
        <v>695</v>
      </c>
      <c r="H1408" s="9">
        <v>39856</v>
      </c>
    </row>
    <row r="1409" spans="6:8">
      <c r="F1409">
        <v>18184</v>
      </c>
      <c r="G1409">
        <v>2549</v>
      </c>
      <c r="H1409" s="9">
        <v>39856</v>
      </c>
    </row>
    <row r="1410" spans="6:8">
      <c r="F1410">
        <v>18202</v>
      </c>
      <c r="G1410">
        <v>6257</v>
      </c>
      <c r="H1410" s="9">
        <v>39856</v>
      </c>
    </row>
    <row r="1411" spans="6:8">
      <c r="F1411">
        <v>18212</v>
      </c>
      <c r="G1411">
        <v>6258</v>
      </c>
      <c r="H1411" s="9">
        <v>39856</v>
      </c>
    </row>
    <row r="1412" spans="6:8">
      <c r="F1412">
        <v>18213</v>
      </c>
      <c r="G1412">
        <v>6259</v>
      </c>
      <c r="H1412" s="9">
        <v>39856</v>
      </c>
    </row>
    <row r="1413" spans="6:8">
      <c r="F1413">
        <v>18248</v>
      </c>
      <c r="G1413">
        <v>6262</v>
      </c>
      <c r="H1413" s="9">
        <v>39857</v>
      </c>
    </row>
    <row r="1414" spans="6:8">
      <c r="F1414">
        <v>18249</v>
      </c>
      <c r="G1414">
        <v>6263</v>
      </c>
      <c r="H1414" s="9">
        <v>39857</v>
      </c>
    </row>
    <row r="1415" spans="6:8">
      <c r="F1415">
        <v>18254</v>
      </c>
      <c r="G1415">
        <v>5630</v>
      </c>
      <c r="H1415" s="9">
        <v>39857</v>
      </c>
    </row>
    <row r="1416" spans="6:8">
      <c r="F1416">
        <v>18260</v>
      </c>
      <c r="G1416">
        <v>3946</v>
      </c>
      <c r="H1416" s="9">
        <v>39857</v>
      </c>
    </row>
    <row r="1417" spans="6:8">
      <c r="F1417">
        <v>18308</v>
      </c>
      <c r="G1417">
        <v>2233</v>
      </c>
      <c r="H1417" s="9">
        <v>39858</v>
      </c>
    </row>
    <row r="1418" spans="6:8">
      <c r="F1418">
        <v>18311</v>
      </c>
      <c r="G1418">
        <v>1178</v>
      </c>
      <c r="H1418" s="9">
        <v>39858</v>
      </c>
    </row>
    <row r="1419" spans="6:8">
      <c r="F1419">
        <v>18313</v>
      </c>
      <c r="G1419">
        <v>5521</v>
      </c>
      <c r="H1419" s="9">
        <v>39858</v>
      </c>
    </row>
    <row r="1420" spans="6:8">
      <c r="F1420">
        <v>18317</v>
      </c>
      <c r="G1420">
        <v>6265</v>
      </c>
      <c r="H1420" s="9">
        <v>39858</v>
      </c>
    </row>
    <row r="1421" spans="6:8">
      <c r="F1421">
        <v>18318</v>
      </c>
      <c r="G1421">
        <v>5058</v>
      </c>
      <c r="H1421" s="9">
        <v>39858</v>
      </c>
    </row>
    <row r="1422" spans="6:8">
      <c r="F1422">
        <v>18416</v>
      </c>
      <c r="G1422">
        <v>295</v>
      </c>
      <c r="H1422" s="9">
        <v>39862</v>
      </c>
    </row>
    <row r="1423" spans="6:8">
      <c r="F1423">
        <v>18435</v>
      </c>
      <c r="G1423">
        <v>6272</v>
      </c>
      <c r="H1423" s="9">
        <v>39863</v>
      </c>
    </row>
    <row r="1424" spans="6:8">
      <c r="F1424">
        <v>18499</v>
      </c>
      <c r="G1424">
        <v>1360</v>
      </c>
      <c r="H1424" s="9">
        <v>39864</v>
      </c>
    </row>
    <row r="1425" spans="6:8">
      <c r="F1425">
        <v>18517</v>
      </c>
      <c r="G1425">
        <v>4977</v>
      </c>
      <c r="H1425" s="9">
        <v>39864</v>
      </c>
    </row>
    <row r="1426" spans="6:8">
      <c r="F1426">
        <v>18519</v>
      </c>
      <c r="G1426">
        <v>6275</v>
      </c>
      <c r="H1426" s="9">
        <v>39864</v>
      </c>
    </row>
    <row r="1427" spans="6:8">
      <c r="F1427">
        <v>18542</v>
      </c>
      <c r="G1427">
        <v>5059</v>
      </c>
      <c r="H1427" s="9">
        <v>39864</v>
      </c>
    </row>
    <row r="1428" spans="6:8">
      <c r="F1428">
        <v>18546</v>
      </c>
      <c r="G1428">
        <v>6276</v>
      </c>
      <c r="H1428" s="9">
        <v>39864</v>
      </c>
    </row>
    <row r="1429" spans="6:8">
      <c r="F1429">
        <v>18547</v>
      </c>
      <c r="G1429">
        <v>4898</v>
      </c>
      <c r="H1429" s="9">
        <v>39864</v>
      </c>
    </row>
    <row r="1430" spans="6:8">
      <c r="F1430">
        <v>18548</v>
      </c>
      <c r="G1430">
        <v>5675</v>
      </c>
      <c r="H1430" s="9">
        <v>39864</v>
      </c>
    </row>
    <row r="1431" spans="6:8">
      <c r="F1431">
        <v>18549</v>
      </c>
      <c r="G1431">
        <v>3563</v>
      </c>
      <c r="H1431" s="9">
        <v>39864</v>
      </c>
    </row>
    <row r="1432" spans="6:8">
      <c r="F1432">
        <v>18550</v>
      </c>
      <c r="G1432">
        <v>6277</v>
      </c>
      <c r="H1432" s="9">
        <v>39864</v>
      </c>
    </row>
    <row r="1433" spans="6:8">
      <c r="F1433">
        <v>18551</v>
      </c>
      <c r="G1433">
        <v>6278</v>
      </c>
      <c r="H1433" s="9">
        <v>39864</v>
      </c>
    </row>
    <row r="1434" spans="6:8">
      <c r="F1434">
        <v>18553</v>
      </c>
      <c r="G1434">
        <v>6280</v>
      </c>
      <c r="H1434" s="9">
        <v>39864</v>
      </c>
    </row>
    <row r="1435" spans="6:8">
      <c r="F1435">
        <v>18555</v>
      </c>
      <c r="G1435">
        <v>6281</v>
      </c>
      <c r="H1435" s="9">
        <v>39864</v>
      </c>
    </row>
    <row r="1436" spans="6:8">
      <c r="F1436">
        <v>18556</v>
      </c>
      <c r="G1436">
        <v>6282</v>
      </c>
      <c r="H1436" s="9">
        <v>39864</v>
      </c>
    </row>
    <row r="1437" spans="6:8">
      <c r="F1437">
        <v>18557</v>
      </c>
      <c r="G1437">
        <v>6283</v>
      </c>
      <c r="H1437" s="9">
        <v>39864</v>
      </c>
    </row>
    <row r="1438" spans="6:8">
      <c r="F1438">
        <v>18558</v>
      </c>
      <c r="G1438">
        <v>6284</v>
      </c>
      <c r="H1438" s="9">
        <v>39864</v>
      </c>
    </row>
    <row r="1439" spans="6:8">
      <c r="F1439">
        <v>18564</v>
      </c>
      <c r="G1439">
        <v>6286</v>
      </c>
      <c r="H1439" s="9">
        <v>39865</v>
      </c>
    </row>
    <row r="1440" spans="6:8">
      <c r="F1440">
        <v>18605</v>
      </c>
      <c r="G1440">
        <v>2967</v>
      </c>
      <c r="H1440" s="9">
        <v>39869</v>
      </c>
    </row>
    <row r="1441" spans="6:8">
      <c r="F1441">
        <v>18634</v>
      </c>
      <c r="G1441">
        <v>6093</v>
      </c>
      <c r="H1441" s="9">
        <v>39869</v>
      </c>
    </row>
    <row r="1442" spans="6:8">
      <c r="F1442">
        <v>18635</v>
      </c>
      <c r="G1442">
        <v>1362</v>
      </c>
      <c r="H1442" s="9">
        <v>39869</v>
      </c>
    </row>
    <row r="1443" spans="6:8">
      <c r="F1443">
        <v>18637</v>
      </c>
      <c r="G1443">
        <v>5720</v>
      </c>
      <c r="H1443" s="9">
        <v>39869</v>
      </c>
    </row>
    <row r="1444" spans="6:8">
      <c r="F1444">
        <v>18638</v>
      </c>
      <c r="G1444">
        <v>3327</v>
      </c>
      <c r="H1444" s="9">
        <v>39869</v>
      </c>
    </row>
    <row r="1445" spans="6:8">
      <c r="F1445">
        <v>18639</v>
      </c>
      <c r="G1445">
        <v>5462</v>
      </c>
      <c r="H1445" s="9">
        <v>39869</v>
      </c>
    </row>
    <row r="1446" spans="6:8">
      <c r="F1446">
        <v>18640</v>
      </c>
      <c r="G1446">
        <v>6289</v>
      </c>
      <c r="H1446" s="9">
        <v>39869</v>
      </c>
    </row>
    <row r="1447" spans="6:8">
      <c r="F1447">
        <v>18641</v>
      </c>
      <c r="G1447">
        <v>6180</v>
      </c>
      <c r="H1447" s="9">
        <v>39869</v>
      </c>
    </row>
    <row r="1448" spans="6:8">
      <c r="F1448">
        <v>18642</v>
      </c>
      <c r="G1448">
        <v>5171</v>
      </c>
      <c r="H1448" s="9">
        <v>39869</v>
      </c>
    </row>
    <row r="1449" spans="6:8">
      <c r="F1449">
        <v>18643</v>
      </c>
      <c r="G1449">
        <v>6290</v>
      </c>
      <c r="H1449" s="9">
        <v>39869</v>
      </c>
    </row>
    <row r="1450" spans="6:8">
      <c r="F1450">
        <v>18644</v>
      </c>
      <c r="G1450">
        <v>5252</v>
      </c>
      <c r="H1450" s="9">
        <v>39869</v>
      </c>
    </row>
    <row r="1451" spans="6:8">
      <c r="F1451">
        <v>18645</v>
      </c>
      <c r="G1451">
        <v>6122</v>
      </c>
      <c r="H1451" s="9">
        <v>39869</v>
      </c>
    </row>
    <row r="1452" spans="6:8">
      <c r="F1452">
        <v>18647</v>
      </c>
      <c r="G1452">
        <v>3217</v>
      </c>
      <c r="H1452" s="9">
        <v>39869</v>
      </c>
    </row>
    <row r="1453" spans="6:8">
      <c r="F1453">
        <v>18653</v>
      </c>
      <c r="G1453">
        <v>1367</v>
      </c>
      <c r="H1453" s="9">
        <v>39869</v>
      </c>
    </row>
    <row r="1454" spans="6:8">
      <c r="F1454">
        <v>18654</v>
      </c>
      <c r="G1454">
        <v>2124</v>
      </c>
      <c r="H1454" s="9">
        <v>39869</v>
      </c>
    </row>
    <row r="1455" spans="6:8">
      <c r="F1455">
        <v>18658</v>
      </c>
      <c r="G1455">
        <v>2080</v>
      </c>
      <c r="H1455" s="9">
        <v>39870</v>
      </c>
    </row>
    <row r="1456" spans="6:8">
      <c r="F1456">
        <v>18670</v>
      </c>
      <c r="G1456">
        <v>1468</v>
      </c>
      <c r="H1456" s="9">
        <v>39870</v>
      </c>
    </row>
    <row r="1457" spans="6:8">
      <c r="F1457">
        <v>18687</v>
      </c>
      <c r="G1457">
        <v>92</v>
      </c>
      <c r="H1457" s="9">
        <v>39870</v>
      </c>
    </row>
    <row r="1458" spans="6:8">
      <c r="F1458">
        <v>18743</v>
      </c>
      <c r="G1458">
        <v>3773</v>
      </c>
      <c r="H1458" s="9">
        <v>39871</v>
      </c>
    </row>
    <row r="1459" spans="6:8">
      <c r="F1459">
        <v>18772</v>
      </c>
      <c r="G1459">
        <v>6299</v>
      </c>
      <c r="H1459" s="9">
        <v>39871</v>
      </c>
    </row>
    <row r="1460" spans="6:8">
      <c r="F1460">
        <v>18773</v>
      </c>
      <c r="G1460">
        <v>6300</v>
      </c>
      <c r="H1460" s="9">
        <v>39871</v>
      </c>
    </row>
    <row r="1461" spans="6:8">
      <c r="F1461">
        <v>18775</v>
      </c>
      <c r="G1461">
        <v>5410</v>
      </c>
      <c r="H1461" s="9">
        <v>39871</v>
      </c>
    </row>
    <row r="1462" spans="6:8">
      <c r="F1462">
        <v>18789</v>
      </c>
      <c r="G1462">
        <v>4975</v>
      </c>
      <c r="H1462" s="9">
        <v>39871</v>
      </c>
    </row>
    <row r="1463" spans="6:8">
      <c r="F1463">
        <v>18792</v>
      </c>
      <c r="G1463">
        <v>5333</v>
      </c>
      <c r="H1463" s="9">
        <v>39871</v>
      </c>
    </row>
    <row r="1464" spans="6:8">
      <c r="F1464">
        <v>18793</v>
      </c>
      <c r="G1464">
        <v>6302</v>
      </c>
      <c r="H1464" s="9">
        <v>39871</v>
      </c>
    </row>
    <row r="1465" spans="6:8">
      <c r="F1465">
        <v>18794</v>
      </c>
      <c r="G1465">
        <v>6303</v>
      </c>
      <c r="H1465" s="9">
        <v>39871</v>
      </c>
    </row>
    <row r="1466" spans="6:8">
      <c r="F1466">
        <v>18795</v>
      </c>
      <c r="G1466">
        <v>3630</v>
      </c>
      <c r="H1466" s="9">
        <v>39871</v>
      </c>
    </row>
    <row r="1467" spans="6:8">
      <c r="F1467">
        <v>18796</v>
      </c>
      <c r="G1467">
        <v>5899</v>
      </c>
      <c r="H1467" s="9">
        <v>39871</v>
      </c>
    </row>
    <row r="1468" spans="6:8">
      <c r="F1468">
        <v>18797</v>
      </c>
      <c r="G1468">
        <v>5980</v>
      </c>
      <c r="H1468" s="9">
        <v>39871</v>
      </c>
    </row>
    <row r="1469" spans="6:8">
      <c r="F1469">
        <v>18798</v>
      </c>
      <c r="G1469">
        <v>6304</v>
      </c>
      <c r="H1469" s="9">
        <v>39871</v>
      </c>
    </row>
    <row r="1470" spans="6:8">
      <c r="F1470">
        <v>18818</v>
      </c>
      <c r="G1470">
        <v>5689</v>
      </c>
      <c r="H1470" s="9">
        <v>39871</v>
      </c>
    </row>
    <row r="1471" spans="6:8">
      <c r="F1471">
        <v>18819</v>
      </c>
      <c r="G1471">
        <v>5744</v>
      </c>
      <c r="H1471" s="9">
        <v>39871</v>
      </c>
    </row>
    <row r="1472" spans="6:8">
      <c r="F1472">
        <v>18831</v>
      </c>
      <c r="G1472">
        <v>1590</v>
      </c>
      <c r="H1472" s="9">
        <v>39872</v>
      </c>
    </row>
    <row r="1473" spans="6:8">
      <c r="F1473">
        <v>18836</v>
      </c>
      <c r="G1473">
        <v>3757</v>
      </c>
      <c r="H1473" s="9">
        <v>39872</v>
      </c>
    </row>
    <row r="1474" spans="6:8">
      <c r="F1474">
        <v>18873</v>
      </c>
      <c r="G1474">
        <v>6313</v>
      </c>
      <c r="H1474" s="9">
        <v>39874</v>
      </c>
    </row>
    <row r="1475" spans="6:8">
      <c r="F1475">
        <v>18874</v>
      </c>
      <c r="G1475">
        <v>6310</v>
      </c>
      <c r="H1475" s="9">
        <v>39874</v>
      </c>
    </row>
    <row r="1476" spans="6:8">
      <c r="F1476">
        <v>18875</v>
      </c>
      <c r="G1476">
        <v>6311</v>
      </c>
      <c r="H1476" s="9">
        <v>39874</v>
      </c>
    </row>
    <row r="1477" spans="6:8">
      <c r="F1477">
        <v>18876</v>
      </c>
      <c r="G1477">
        <v>6312</v>
      </c>
      <c r="H1477" s="9">
        <v>39874</v>
      </c>
    </row>
    <row r="1478" spans="6:8">
      <c r="F1478">
        <v>18877</v>
      </c>
      <c r="G1478">
        <v>6314</v>
      </c>
      <c r="H1478" s="9">
        <v>39874</v>
      </c>
    </row>
    <row r="1479" spans="6:8">
      <c r="F1479">
        <v>18878</v>
      </c>
      <c r="G1479">
        <v>6315</v>
      </c>
      <c r="H1479" s="9">
        <v>39874</v>
      </c>
    </row>
    <row r="1480" spans="6:8">
      <c r="F1480">
        <v>18879</v>
      </c>
      <c r="G1480">
        <v>6316</v>
      </c>
      <c r="H1480" s="9">
        <v>39874</v>
      </c>
    </row>
    <row r="1481" spans="6:8">
      <c r="F1481">
        <v>18880</v>
      </c>
      <c r="G1481">
        <v>6317</v>
      </c>
      <c r="H1481" s="9">
        <v>39874</v>
      </c>
    </row>
    <row r="1482" spans="6:8">
      <c r="F1482">
        <v>18881</v>
      </c>
      <c r="G1482">
        <v>6318</v>
      </c>
      <c r="H1482" s="9">
        <v>39874</v>
      </c>
    </row>
    <row r="1483" spans="6:8">
      <c r="F1483">
        <v>18882</v>
      </c>
      <c r="G1483">
        <v>6319</v>
      </c>
      <c r="H1483" s="9">
        <v>39874</v>
      </c>
    </row>
    <row r="1484" spans="6:8">
      <c r="F1484">
        <v>18883</v>
      </c>
      <c r="G1484">
        <v>6320</v>
      </c>
      <c r="H1484" s="9">
        <v>39874</v>
      </c>
    </row>
    <row r="1485" spans="6:8">
      <c r="F1485">
        <v>18884</v>
      </c>
      <c r="G1485">
        <v>6321</v>
      </c>
      <c r="H1485" s="9">
        <v>39874</v>
      </c>
    </row>
    <row r="1486" spans="6:8">
      <c r="F1486">
        <v>18885</v>
      </c>
      <c r="G1486">
        <v>6322</v>
      </c>
      <c r="H1486" s="9">
        <v>39874</v>
      </c>
    </row>
    <row r="1487" spans="6:8">
      <c r="F1487">
        <v>18886</v>
      </c>
      <c r="G1487">
        <v>6323</v>
      </c>
      <c r="H1487" s="9">
        <v>39874</v>
      </c>
    </row>
    <row r="1488" spans="6:8">
      <c r="F1488">
        <v>18887</v>
      </c>
      <c r="G1488">
        <v>6324</v>
      </c>
      <c r="H1488" s="9">
        <v>39874</v>
      </c>
    </row>
    <row r="1489" spans="6:8">
      <c r="F1489">
        <v>18888</v>
      </c>
      <c r="G1489">
        <v>6325</v>
      </c>
      <c r="H1489" s="9">
        <v>39874</v>
      </c>
    </row>
    <row r="1490" spans="6:8">
      <c r="F1490">
        <v>18889</v>
      </c>
      <c r="G1490">
        <v>6326</v>
      </c>
      <c r="H1490" s="9">
        <v>39874</v>
      </c>
    </row>
    <row r="1491" spans="6:8">
      <c r="F1491">
        <v>18890</v>
      </c>
      <c r="G1491">
        <v>6327</v>
      </c>
      <c r="H1491" s="9">
        <v>39874</v>
      </c>
    </row>
    <row r="1492" spans="6:8">
      <c r="F1492">
        <v>18938</v>
      </c>
      <c r="G1492">
        <v>6329</v>
      </c>
      <c r="H1492" s="9">
        <v>39874</v>
      </c>
    </row>
    <row r="1493" spans="6:8">
      <c r="F1493">
        <v>18939</v>
      </c>
      <c r="G1493">
        <v>6330</v>
      </c>
      <c r="H1493" s="9">
        <v>39874</v>
      </c>
    </row>
    <row r="1494" spans="6:8">
      <c r="F1494">
        <v>18941</v>
      </c>
      <c r="G1494">
        <v>5080</v>
      </c>
      <c r="H1494" s="9">
        <v>39874</v>
      </c>
    </row>
    <row r="1495" spans="6:8">
      <c r="F1495">
        <v>18942</v>
      </c>
      <c r="G1495">
        <v>5696</v>
      </c>
      <c r="H1495" s="9">
        <v>39874</v>
      </c>
    </row>
    <row r="1496" spans="6:8">
      <c r="F1496">
        <v>18943</v>
      </c>
      <c r="G1496">
        <v>6331</v>
      </c>
      <c r="H1496" s="9">
        <v>39874</v>
      </c>
    </row>
    <row r="1497" spans="6:8">
      <c r="F1497">
        <v>18944</v>
      </c>
      <c r="G1497">
        <v>6301</v>
      </c>
      <c r="H1497" s="9">
        <v>39874</v>
      </c>
    </row>
    <row r="1498" spans="6:8">
      <c r="F1498">
        <v>18945</v>
      </c>
      <c r="G1498">
        <v>3309</v>
      </c>
      <c r="H1498" s="9">
        <v>39874</v>
      </c>
    </row>
    <row r="1499" spans="6:8">
      <c r="F1499">
        <v>18946</v>
      </c>
      <c r="G1499">
        <v>3236</v>
      </c>
      <c r="H1499" s="9">
        <v>39874</v>
      </c>
    </row>
    <row r="1500" spans="6:8">
      <c r="F1500">
        <v>18947</v>
      </c>
      <c r="G1500">
        <v>6332</v>
      </c>
      <c r="H1500" s="9">
        <v>39874</v>
      </c>
    </row>
    <row r="1501" spans="6:8">
      <c r="F1501">
        <v>18948</v>
      </c>
      <c r="G1501">
        <v>5183</v>
      </c>
      <c r="H1501" s="9">
        <v>39874</v>
      </c>
    </row>
    <row r="1502" spans="6:8">
      <c r="F1502">
        <v>18949</v>
      </c>
      <c r="G1502">
        <v>5065</v>
      </c>
      <c r="H1502" s="9">
        <v>39874</v>
      </c>
    </row>
    <row r="1503" spans="6:8">
      <c r="F1503">
        <v>18950</v>
      </c>
      <c r="G1503">
        <v>5065</v>
      </c>
      <c r="H1503" s="9">
        <v>39874</v>
      </c>
    </row>
    <row r="1504" spans="6:8">
      <c r="F1504">
        <v>18951</v>
      </c>
      <c r="G1504">
        <v>5256</v>
      </c>
      <c r="H1504" s="9">
        <v>39874</v>
      </c>
    </row>
    <row r="1505" spans="6:8">
      <c r="F1505">
        <v>18952</v>
      </c>
      <c r="G1505">
        <v>4984</v>
      </c>
      <c r="H1505" s="9">
        <v>39874</v>
      </c>
    </row>
    <row r="1506" spans="6:8">
      <c r="F1506">
        <v>18967</v>
      </c>
      <c r="G1506">
        <v>3012</v>
      </c>
      <c r="H1506" s="9">
        <v>39874</v>
      </c>
    </row>
    <row r="1507" spans="6:8">
      <c r="F1507">
        <v>18989</v>
      </c>
      <c r="G1507">
        <v>3120</v>
      </c>
      <c r="H1507" s="9">
        <v>39875</v>
      </c>
    </row>
    <row r="1508" spans="6:8">
      <c r="F1508">
        <v>18991</v>
      </c>
      <c r="G1508">
        <v>3154</v>
      </c>
      <c r="H1508" s="9">
        <v>39875</v>
      </c>
    </row>
    <row r="1509" spans="6:8">
      <c r="F1509">
        <v>19040</v>
      </c>
      <c r="G1509">
        <v>1817</v>
      </c>
      <c r="H1509" s="9">
        <v>39875</v>
      </c>
    </row>
    <row r="1510" spans="6:8">
      <c r="F1510">
        <v>19051</v>
      </c>
      <c r="G1510">
        <v>2519</v>
      </c>
      <c r="H1510" s="9">
        <v>39875</v>
      </c>
    </row>
    <row r="1511" spans="6:8">
      <c r="F1511">
        <v>19059</v>
      </c>
      <c r="G1511">
        <v>5704</v>
      </c>
      <c r="H1511" s="9">
        <v>39875</v>
      </c>
    </row>
    <row r="1512" spans="6:8">
      <c r="F1512">
        <v>19062</v>
      </c>
      <c r="G1512">
        <v>6337</v>
      </c>
      <c r="H1512" s="9">
        <v>39876</v>
      </c>
    </row>
    <row r="1513" spans="6:8">
      <c r="F1513">
        <v>19063</v>
      </c>
      <c r="G1513">
        <v>6338</v>
      </c>
      <c r="H1513" s="9">
        <v>39876</v>
      </c>
    </row>
    <row r="1514" spans="6:8">
      <c r="F1514">
        <v>19082</v>
      </c>
      <c r="G1514">
        <v>6340</v>
      </c>
      <c r="H1514" s="9">
        <v>39876</v>
      </c>
    </row>
    <row r="1515" spans="6:8">
      <c r="F1515">
        <v>19084</v>
      </c>
      <c r="G1515">
        <v>6341</v>
      </c>
      <c r="H1515" s="9">
        <v>39876</v>
      </c>
    </row>
    <row r="1516" spans="6:8">
      <c r="F1516">
        <v>19085</v>
      </c>
      <c r="G1516">
        <v>6342</v>
      </c>
      <c r="H1516" s="9">
        <v>39876</v>
      </c>
    </row>
    <row r="1517" spans="6:8">
      <c r="F1517">
        <v>19086</v>
      </c>
      <c r="G1517">
        <v>6343</v>
      </c>
      <c r="H1517" s="9">
        <v>39876</v>
      </c>
    </row>
    <row r="1518" spans="6:8">
      <c r="F1518">
        <v>19087</v>
      </c>
      <c r="G1518">
        <v>6344</v>
      </c>
      <c r="H1518" s="9">
        <v>39876</v>
      </c>
    </row>
    <row r="1519" spans="6:8">
      <c r="F1519">
        <v>19088</v>
      </c>
      <c r="G1519">
        <v>6345</v>
      </c>
      <c r="H1519" s="9">
        <v>39876</v>
      </c>
    </row>
    <row r="1520" spans="6:8">
      <c r="F1520">
        <v>19089</v>
      </c>
      <c r="G1520">
        <v>6346</v>
      </c>
      <c r="H1520" s="9">
        <v>39876</v>
      </c>
    </row>
    <row r="1521" spans="6:8">
      <c r="F1521">
        <v>19090</v>
      </c>
      <c r="G1521">
        <v>6347</v>
      </c>
      <c r="H1521" s="9">
        <v>39876</v>
      </c>
    </row>
    <row r="1522" spans="6:8">
      <c r="F1522">
        <v>19091</v>
      </c>
      <c r="G1522">
        <v>6348</v>
      </c>
      <c r="H1522" s="9">
        <v>39876</v>
      </c>
    </row>
    <row r="1523" spans="6:8">
      <c r="F1523">
        <v>19092</v>
      </c>
      <c r="G1523">
        <v>6349</v>
      </c>
      <c r="H1523" s="9">
        <v>39876</v>
      </c>
    </row>
    <row r="1524" spans="6:8">
      <c r="F1524">
        <v>19093</v>
      </c>
      <c r="G1524">
        <v>6350</v>
      </c>
      <c r="H1524" s="9">
        <v>39876</v>
      </c>
    </row>
    <row r="1525" spans="6:8">
      <c r="F1525">
        <v>19094</v>
      </c>
      <c r="G1525">
        <v>6351</v>
      </c>
      <c r="H1525" s="9">
        <v>39876</v>
      </c>
    </row>
    <row r="1526" spans="6:8">
      <c r="F1526">
        <v>19095</v>
      </c>
      <c r="G1526">
        <v>6352</v>
      </c>
      <c r="H1526" s="9">
        <v>39876</v>
      </c>
    </row>
    <row r="1527" spans="6:8">
      <c r="F1527">
        <v>19096</v>
      </c>
      <c r="G1527">
        <v>6353</v>
      </c>
      <c r="H1527" s="9">
        <v>39876</v>
      </c>
    </row>
    <row r="1528" spans="6:8">
      <c r="F1528">
        <v>19097</v>
      </c>
      <c r="G1528">
        <v>6354</v>
      </c>
      <c r="H1528" s="9">
        <v>39876</v>
      </c>
    </row>
    <row r="1529" spans="6:8">
      <c r="F1529">
        <v>19098</v>
      </c>
      <c r="G1529">
        <v>6355</v>
      </c>
      <c r="H1529" s="9">
        <v>39876</v>
      </c>
    </row>
    <row r="1530" spans="6:8">
      <c r="F1530">
        <v>19099</v>
      </c>
      <c r="G1530">
        <v>6356</v>
      </c>
      <c r="H1530" s="9">
        <v>39876</v>
      </c>
    </row>
    <row r="1531" spans="6:8">
      <c r="F1531">
        <v>19100</v>
      </c>
      <c r="G1531">
        <v>6357</v>
      </c>
      <c r="H1531" s="9">
        <v>39876</v>
      </c>
    </row>
    <row r="1532" spans="6:8">
      <c r="F1532">
        <v>19107</v>
      </c>
      <c r="G1532">
        <v>6358</v>
      </c>
      <c r="H1532" s="9">
        <v>39876</v>
      </c>
    </row>
    <row r="1533" spans="6:8">
      <c r="F1533">
        <v>19111</v>
      </c>
      <c r="G1533">
        <v>3418</v>
      </c>
      <c r="H1533" s="9">
        <v>39876</v>
      </c>
    </row>
    <row r="1534" spans="6:8">
      <c r="F1534">
        <v>19145</v>
      </c>
      <c r="G1534">
        <v>6362</v>
      </c>
      <c r="H1534" s="9">
        <v>39876</v>
      </c>
    </row>
    <row r="1535" spans="6:8">
      <c r="F1535">
        <v>19150</v>
      </c>
      <c r="G1535">
        <v>965</v>
      </c>
      <c r="H1535" s="9">
        <v>39876</v>
      </c>
    </row>
    <row r="1536" spans="6:8">
      <c r="F1536">
        <v>19206</v>
      </c>
      <c r="G1536">
        <v>355</v>
      </c>
      <c r="H1536" s="9">
        <v>39880</v>
      </c>
    </row>
    <row r="1537" spans="6:8">
      <c r="F1537">
        <v>19211</v>
      </c>
      <c r="G1537">
        <v>3176</v>
      </c>
      <c r="H1537" s="9">
        <v>39880</v>
      </c>
    </row>
    <row r="1538" spans="6:8">
      <c r="F1538">
        <v>19214</v>
      </c>
      <c r="G1538">
        <v>4890</v>
      </c>
      <c r="H1538" s="9">
        <v>39880</v>
      </c>
    </row>
    <row r="1539" spans="6:8">
      <c r="F1539">
        <v>19225</v>
      </c>
      <c r="G1539">
        <v>6363</v>
      </c>
      <c r="H1539" s="9">
        <v>39880</v>
      </c>
    </row>
    <row r="1540" spans="6:8">
      <c r="F1540">
        <v>19228</v>
      </c>
      <c r="G1540">
        <v>3048</v>
      </c>
      <c r="H1540" s="9">
        <v>39880</v>
      </c>
    </row>
    <row r="1541" spans="6:8">
      <c r="F1541">
        <v>19237</v>
      </c>
      <c r="G1541">
        <v>5303</v>
      </c>
      <c r="H1541" s="9">
        <v>39880</v>
      </c>
    </row>
    <row r="1542" spans="6:8">
      <c r="F1542">
        <v>19243</v>
      </c>
      <c r="G1542">
        <v>823</v>
      </c>
      <c r="H1542" s="9">
        <v>39880</v>
      </c>
    </row>
    <row r="1543" spans="6:8">
      <c r="F1543">
        <v>19245</v>
      </c>
      <c r="G1543">
        <v>4158</v>
      </c>
      <c r="H1543" s="9">
        <v>39880</v>
      </c>
    </row>
    <row r="1544" spans="6:8">
      <c r="F1544">
        <v>19247</v>
      </c>
      <c r="G1544">
        <v>6365</v>
      </c>
      <c r="H1544" s="9">
        <v>39880</v>
      </c>
    </row>
    <row r="1545" spans="6:8">
      <c r="F1545">
        <v>19248</v>
      </c>
      <c r="G1545">
        <v>6279</v>
      </c>
      <c r="H1545" s="9">
        <v>39880</v>
      </c>
    </row>
    <row r="1546" spans="6:8">
      <c r="F1546">
        <v>19250</v>
      </c>
      <c r="G1546">
        <v>4209</v>
      </c>
      <c r="H1546" s="9">
        <v>39880</v>
      </c>
    </row>
    <row r="1547" spans="6:8">
      <c r="F1547">
        <v>19252</v>
      </c>
      <c r="G1547">
        <v>6366</v>
      </c>
      <c r="H1547" s="9">
        <v>39880</v>
      </c>
    </row>
    <row r="1548" spans="6:8">
      <c r="F1548">
        <v>19254</v>
      </c>
      <c r="G1548">
        <v>6367</v>
      </c>
      <c r="H1548" s="9">
        <v>39880</v>
      </c>
    </row>
    <row r="1549" spans="6:8">
      <c r="F1549">
        <v>19256</v>
      </c>
      <c r="G1549">
        <v>6059</v>
      </c>
      <c r="H1549" s="9">
        <v>39880</v>
      </c>
    </row>
    <row r="1550" spans="6:8">
      <c r="F1550">
        <v>19257</v>
      </c>
      <c r="G1550">
        <v>6368</v>
      </c>
      <c r="H1550" s="9">
        <v>39880</v>
      </c>
    </row>
    <row r="1551" spans="6:8">
      <c r="F1551">
        <v>19258</v>
      </c>
      <c r="G1551">
        <v>6369</v>
      </c>
      <c r="H1551" s="9">
        <v>39880</v>
      </c>
    </row>
    <row r="1552" spans="6:8">
      <c r="F1552">
        <v>19281</v>
      </c>
      <c r="G1552">
        <v>3465</v>
      </c>
      <c r="H1552" s="9">
        <v>39881</v>
      </c>
    </row>
    <row r="1553" spans="6:8">
      <c r="F1553">
        <v>19288</v>
      </c>
      <c r="G1553">
        <v>6370</v>
      </c>
      <c r="H1553" s="9">
        <v>39881</v>
      </c>
    </row>
    <row r="1554" spans="6:8">
      <c r="F1554">
        <v>19321</v>
      </c>
      <c r="G1554">
        <v>5717</v>
      </c>
      <c r="H1554" s="9">
        <v>39881</v>
      </c>
    </row>
    <row r="1555" spans="6:8">
      <c r="F1555">
        <v>19324</v>
      </c>
      <c r="G1555">
        <v>3235</v>
      </c>
      <c r="H1555" s="9">
        <v>39881</v>
      </c>
    </row>
    <row r="1556" spans="6:8">
      <c r="F1556">
        <v>19325</v>
      </c>
      <c r="G1556">
        <v>6372</v>
      </c>
      <c r="H1556" s="9">
        <v>39881</v>
      </c>
    </row>
    <row r="1557" spans="6:8">
      <c r="F1557">
        <v>19340</v>
      </c>
      <c r="G1557">
        <v>5110</v>
      </c>
      <c r="H1557" s="9">
        <v>39882</v>
      </c>
    </row>
    <row r="1558" spans="6:8">
      <c r="F1558">
        <v>19344</v>
      </c>
      <c r="G1558">
        <v>6374</v>
      </c>
      <c r="H1558" s="9">
        <v>39882</v>
      </c>
    </row>
    <row r="1559" spans="6:8">
      <c r="F1559">
        <v>19355</v>
      </c>
      <c r="G1559">
        <v>2775</v>
      </c>
      <c r="H1559" s="9">
        <v>39882</v>
      </c>
    </row>
    <row r="1560" spans="6:8">
      <c r="F1560">
        <v>19373</v>
      </c>
      <c r="G1560">
        <v>6375</v>
      </c>
      <c r="H1560" s="9">
        <v>39882</v>
      </c>
    </row>
    <row r="1561" spans="6:8">
      <c r="F1561">
        <v>19374</v>
      </c>
      <c r="G1561">
        <v>6376</v>
      </c>
      <c r="H1561" s="9">
        <v>39882</v>
      </c>
    </row>
    <row r="1562" spans="6:8">
      <c r="F1562">
        <v>19375</v>
      </c>
      <c r="G1562">
        <v>6377</v>
      </c>
      <c r="H1562" s="9">
        <v>39882</v>
      </c>
    </row>
    <row r="1563" spans="6:8">
      <c r="F1563">
        <v>19376</v>
      </c>
      <c r="G1563">
        <v>6378</v>
      </c>
      <c r="H1563" s="9">
        <v>39882</v>
      </c>
    </row>
    <row r="1564" spans="6:8">
      <c r="F1564">
        <v>19377</v>
      </c>
      <c r="G1564">
        <v>6379</v>
      </c>
      <c r="H1564" s="9">
        <v>39882</v>
      </c>
    </row>
    <row r="1565" spans="6:8">
      <c r="F1565">
        <v>19378</v>
      </c>
      <c r="G1565">
        <v>6380</v>
      </c>
      <c r="H1565" s="9">
        <v>39882</v>
      </c>
    </row>
    <row r="1566" spans="6:8">
      <c r="F1566">
        <v>19379</v>
      </c>
      <c r="G1566">
        <v>6381</v>
      </c>
      <c r="H1566" s="9">
        <v>39882</v>
      </c>
    </row>
    <row r="1567" spans="6:8">
      <c r="F1567">
        <v>19380</v>
      </c>
      <c r="G1567">
        <v>6382</v>
      </c>
      <c r="H1567" s="9">
        <v>39882</v>
      </c>
    </row>
    <row r="1568" spans="6:8">
      <c r="F1568">
        <v>19382</v>
      </c>
      <c r="G1568">
        <v>6384</v>
      </c>
      <c r="H1568" s="9">
        <v>39882</v>
      </c>
    </row>
    <row r="1569" spans="6:8">
      <c r="F1569">
        <v>19383</v>
      </c>
      <c r="G1569">
        <v>6385</v>
      </c>
      <c r="H1569" s="9">
        <v>39882</v>
      </c>
    </row>
    <row r="1570" spans="6:8">
      <c r="F1570">
        <v>19384</v>
      </c>
      <c r="G1570">
        <v>6386</v>
      </c>
      <c r="H1570" s="9">
        <v>39882</v>
      </c>
    </row>
    <row r="1571" spans="6:8">
      <c r="F1571">
        <v>19385</v>
      </c>
      <c r="G1571">
        <v>6387</v>
      </c>
      <c r="H1571" s="9">
        <v>39882</v>
      </c>
    </row>
    <row r="1572" spans="6:8">
      <c r="F1572">
        <v>19386</v>
      </c>
      <c r="G1572">
        <v>6388</v>
      </c>
      <c r="H1572" s="9">
        <v>39882</v>
      </c>
    </row>
    <row r="1573" spans="6:8">
      <c r="F1573">
        <v>19387</v>
      </c>
      <c r="G1573">
        <v>6389</v>
      </c>
      <c r="H1573" s="9">
        <v>39882</v>
      </c>
    </row>
    <row r="1574" spans="6:8">
      <c r="F1574">
        <v>19388</v>
      </c>
      <c r="G1574">
        <v>6390</v>
      </c>
      <c r="H1574" s="9">
        <v>39882</v>
      </c>
    </row>
    <row r="1575" spans="6:8">
      <c r="F1575">
        <v>19389</v>
      </c>
      <c r="G1575">
        <v>6391</v>
      </c>
      <c r="H1575" s="9">
        <v>39882</v>
      </c>
    </row>
    <row r="1576" spans="6:8">
      <c r="F1576">
        <v>19390</v>
      </c>
      <c r="G1576">
        <v>6392</v>
      </c>
      <c r="H1576" s="9">
        <v>39882</v>
      </c>
    </row>
    <row r="1577" spans="6:8">
      <c r="F1577">
        <v>19391</v>
      </c>
      <c r="G1577">
        <v>6393</v>
      </c>
      <c r="H1577" s="9">
        <v>39882</v>
      </c>
    </row>
    <row r="1578" spans="6:8">
      <c r="F1578">
        <v>19392</v>
      </c>
      <c r="G1578">
        <v>6394</v>
      </c>
      <c r="H1578" s="9">
        <v>39882</v>
      </c>
    </row>
    <row r="1579" spans="6:8">
      <c r="F1579">
        <v>19393</v>
      </c>
      <c r="G1579">
        <v>6395</v>
      </c>
      <c r="H1579" s="9">
        <v>39882</v>
      </c>
    </row>
    <row r="1580" spans="6:8">
      <c r="F1580">
        <v>19394</v>
      </c>
      <c r="G1580">
        <v>6396</v>
      </c>
      <c r="H1580" s="9">
        <v>39882</v>
      </c>
    </row>
    <row r="1581" spans="6:8">
      <c r="F1581">
        <v>19395</v>
      </c>
      <c r="G1581">
        <v>6397</v>
      </c>
      <c r="H1581" s="9">
        <v>39882</v>
      </c>
    </row>
    <row r="1582" spans="6:8">
      <c r="F1582">
        <v>19396</v>
      </c>
      <c r="G1582">
        <v>6398</v>
      </c>
      <c r="H1582" s="9">
        <v>39882</v>
      </c>
    </row>
    <row r="1583" spans="6:8">
      <c r="F1583">
        <v>19425</v>
      </c>
      <c r="G1583">
        <v>6403</v>
      </c>
      <c r="H1583" s="9">
        <v>39883</v>
      </c>
    </row>
    <row r="1584" spans="6:8">
      <c r="F1584">
        <v>19485</v>
      </c>
      <c r="G1584">
        <v>5621</v>
      </c>
      <c r="H1584" s="9">
        <v>39884</v>
      </c>
    </row>
    <row r="1585" spans="6:8">
      <c r="F1585">
        <v>19548</v>
      </c>
      <c r="G1585">
        <v>6423</v>
      </c>
      <c r="H1585" s="9">
        <v>39888</v>
      </c>
    </row>
    <row r="1586" spans="6:8">
      <c r="F1586">
        <v>19557</v>
      </c>
      <c r="G1586">
        <v>4352</v>
      </c>
      <c r="H1586" s="9">
        <v>39888</v>
      </c>
    </row>
    <row r="1587" spans="6:8">
      <c r="F1587">
        <v>19564</v>
      </c>
      <c r="G1587">
        <v>3435</v>
      </c>
      <c r="H1587" s="9">
        <v>39888</v>
      </c>
    </row>
    <row r="1588" spans="6:8">
      <c r="F1588">
        <v>19571</v>
      </c>
      <c r="G1588">
        <v>2853</v>
      </c>
      <c r="H1588" s="9">
        <v>39888</v>
      </c>
    </row>
    <row r="1589" spans="6:8">
      <c r="F1589">
        <v>19577</v>
      </c>
      <c r="G1589">
        <v>2097</v>
      </c>
      <c r="H1589" s="9">
        <v>39888</v>
      </c>
    </row>
    <row r="1590" spans="6:8">
      <c r="F1590">
        <v>19637</v>
      </c>
      <c r="G1590">
        <v>5607</v>
      </c>
      <c r="H1590" s="9">
        <v>39889</v>
      </c>
    </row>
    <row r="1591" spans="6:8">
      <c r="F1591">
        <v>19640</v>
      </c>
      <c r="G1591">
        <v>1623</v>
      </c>
      <c r="H1591" s="9">
        <v>39889</v>
      </c>
    </row>
    <row r="1592" spans="6:8">
      <c r="F1592">
        <v>19664</v>
      </c>
      <c r="G1592">
        <v>4870</v>
      </c>
      <c r="H1592" s="9">
        <v>39891</v>
      </c>
    </row>
    <row r="1593" spans="6:8">
      <c r="F1593">
        <v>19680</v>
      </c>
      <c r="G1593">
        <v>1274</v>
      </c>
      <c r="H1593" s="9">
        <v>39891</v>
      </c>
    </row>
    <row r="1594" spans="6:8">
      <c r="F1594">
        <v>19755</v>
      </c>
      <c r="G1594">
        <v>2321</v>
      </c>
      <c r="H1594" s="9">
        <v>39894</v>
      </c>
    </row>
    <row r="1595" spans="6:8">
      <c r="F1595">
        <v>19770</v>
      </c>
      <c r="G1595">
        <v>6428</v>
      </c>
      <c r="H1595" s="9">
        <v>39894</v>
      </c>
    </row>
    <row r="1596" spans="6:8">
      <c r="F1596">
        <v>19806</v>
      </c>
      <c r="G1596">
        <v>73</v>
      </c>
      <c r="H1596" s="9">
        <v>39894</v>
      </c>
    </row>
    <row r="1597" spans="6:8">
      <c r="F1597">
        <v>19880</v>
      </c>
      <c r="G1597">
        <v>1768</v>
      </c>
      <c r="H1597" s="9">
        <v>39898</v>
      </c>
    </row>
    <row r="1598" spans="6:8">
      <c r="F1598">
        <v>19923</v>
      </c>
      <c r="G1598">
        <v>6442</v>
      </c>
      <c r="H1598" s="9">
        <v>39898</v>
      </c>
    </row>
    <row r="1599" spans="6:8">
      <c r="F1599">
        <v>19924</v>
      </c>
      <c r="G1599">
        <v>6442</v>
      </c>
      <c r="H1599" s="9">
        <v>39898</v>
      </c>
    </row>
    <row r="1600" spans="6:8">
      <c r="F1600">
        <v>19925</v>
      </c>
      <c r="G1600">
        <v>6443</v>
      </c>
      <c r="H1600" s="9">
        <v>39898</v>
      </c>
    </row>
    <row r="1601" spans="6:8">
      <c r="F1601">
        <v>19929</v>
      </c>
      <c r="G1601">
        <v>2590</v>
      </c>
      <c r="H1601" s="9">
        <v>39898</v>
      </c>
    </row>
    <row r="1602" spans="6:8">
      <c r="F1602">
        <v>20008</v>
      </c>
      <c r="G1602">
        <v>4902</v>
      </c>
      <c r="H1602" s="9">
        <v>39902</v>
      </c>
    </row>
    <row r="1603" spans="6:8">
      <c r="F1603">
        <v>20013</v>
      </c>
      <c r="G1603">
        <v>833</v>
      </c>
      <c r="H1603" s="9">
        <v>39903</v>
      </c>
    </row>
    <row r="1604" spans="6:8">
      <c r="F1604">
        <v>20051</v>
      </c>
      <c r="G1604">
        <v>1913</v>
      </c>
      <c r="H1604" s="9">
        <v>39903</v>
      </c>
    </row>
    <row r="1605" spans="6:8">
      <c r="F1605">
        <v>20055</v>
      </c>
      <c r="G1605">
        <v>5877</v>
      </c>
      <c r="H1605" s="9">
        <v>39903</v>
      </c>
    </row>
    <row r="1606" spans="6:8">
      <c r="F1606">
        <v>20069</v>
      </c>
      <c r="G1606">
        <v>6076</v>
      </c>
      <c r="H1606" s="9">
        <v>39904</v>
      </c>
    </row>
    <row r="1607" spans="6:8">
      <c r="F1607">
        <v>20075</v>
      </c>
      <c r="G1607">
        <v>3872</v>
      </c>
      <c r="H1607" s="9">
        <v>39904</v>
      </c>
    </row>
    <row r="1608" spans="6:8">
      <c r="F1608">
        <v>20144</v>
      </c>
      <c r="G1608">
        <v>1902</v>
      </c>
      <c r="H1608" s="9">
        <v>39904</v>
      </c>
    </row>
    <row r="1609" spans="6:8">
      <c r="F1609">
        <v>20214</v>
      </c>
      <c r="G1609">
        <v>6064</v>
      </c>
      <c r="H1609" s="9">
        <v>39904</v>
      </c>
    </row>
    <row r="1610" spans="6:8">
      <c r="F1610">
        <v>20227</v>
      </c>
      <c r="G1610">
        <v>5327</v>
      </c>
      <c r="H1610" s="9">
        <v>39908</v>
      </c>
    </row>
    <row r="1611" spans="6:8">
      <c r="F1611">
        <v>20233</v>
      </c>
      <c r="G1611">
        <v>5732</v>
      </c>
      <c r="H1611" s="9">
        <v>39905</v>
      </c>
    </row>
    <row r="1612" spans="6:8">
      <c r="F1612">
        <v>20242</v>
      </c>
      <c r="G1612">
        <v>5569</v>
      </c>
      <c r="H1612" s="9">
        <v>39905</v>
      </c>
    </row>
    <row r="1613" spans="6:8">
      <c r="F1613">
        <v>20301</v>
      </c>
      <c r="G1613">
        <v>981</v>
      </c>
      <c r="H1613" s="9">
        <v>39905</v>
      </c>
    </row>
    <row r="1614" spans="6:8">
      <c r="F1614">
        <v>20314</v>
      </c>
      <c r="G1614">
        <v>390</v>
      </c>
      <c r="H1614" s="9">
        <v>39908</v>
      </c>
    </row>
    <row r="1615" spans="6:8">
      <c r="F1615">
        <v>20334</v>
      </c>
      <c r="G1615">
        <v>6456</v>
      </c>
      <c r="H1615" s="9">
        <v>39908</v>
      </c>
    </row>
    <row r="1616" spans="6:8">
      <c r="F1616">
        <v>20341</v>
      </c>
      <c r="G1616">
        <v>6457</v>
      </c>
      <c r="H1616" s="9">
        <v>39908</v>
      </c>
    </row>
    <row r="1617" spans="6:8">
      <c r="F1617">
        <v>20348</v>
      </c>
      <c r="G1617">
        <v>5635</v>
      </c>
      <c r="H1617" s="9">
        <v>39909</v>
      </c>
    </row>
    <row r="1618" spans="6:8">
      <c r="F1618">
        <v>20350</v>
      </c>
      <c r="G1618">
        <v>5949</v>
      </c>
      <c r="H1618" s="9">
        <v>39909</v>
      </c>
    </row>
    <row r="1619" spans="6:8">
      <c r="F1619">
        <v>20353</v>
      </c>
      <c r="G1619">
        <v>1287</v>
      </c>
      <c r="H1619" s="9">
        <v>39909</v>
      </c>
    </row>
    <row r="1620" spans="6:8">
      <c r="F1620">
        <v>20356</v>
      </c>
      <c r="G1620">
        <v>6460</v>
      </c>
      <c r="H1620" s="9">
        <v>39909</v>
      </c>
    </row>
    <row r="1621" spans="6:8">
      <c r="F1621">
        <v>20366</v>
      </c>
      <c r="G1621">
        <v>2656</v>
      </c>
      <c r="H1621" s="9">
        <v>39909</v>
      </c>
    </row>
    <row r="1622" spans="6:8">
      <c r="F1622">
        <v>20390</v>
      </c>
      <c r="G1622">
        <v>6462</v>
      </c>
      <c r="H1622" s="9">
        <v>39909</v>
      </c>
    </row>
    <row r="1623" spans="6:8">
      <c r="F1623">
        <v>20403</v>
      </c>
      <c r="G1623">
        <v>1901</v>
      </c>
      <c r="H1623" s="9">
        <v>39910</v>
      </c>
    </row>
    <row r="1624" spans="6:8">
      <c r="F1624">
        <v>20406</v>
      </c>
      <c r="G1624">
        <v>1676</v>
      </c>
      <c r="H1624" s="9">
        <v>39910</v>
      </c>
    </row>
    <row r="1625" spans="6:8">
      <c r="F1625">
        <v>20415</v>
      </c>
      <c r="G1625">
        <v>6082</v>
      </c>
      <c r="H1625" s="9">
        <v>39910</v>
      </c>
    </row>
    <row r="1626" spans="6:8">
      <c r="F1626">
        <v>20422</v>
      </c>
      <c r="G1626">
        <v>6471</v>
      </c>
      <c r="H1626" s="9">
        <v>39910</v>
      </c>
    </row>
    <row r="1627" spans="6:8">
      <c r="F1627">
        <v>20446</v>
      </c>
      <c r="G1627">
        <v>4373</v>
      </c>
      <c r="H1627" s="9">
        <v>39910</v>
      </c>
    </row>
    <row r="1628" spans="6:8">
      <c r="F1628">
        <v>20459</v>
      </c>
      <c r="G1628">
        <v>3354</v>
      </c>
      <c r="H1628" s="9">
        <v>39910</v>
      </c>
    </row>
    <row r="1629" spans="6:8">
      <c r="F1629">
        <v>20508</v>
      </c>
      <c r="G1629">
        <v>6474</v>
      </c>
      <c r="H1629" s="9">
        <v>39915</v>
      </c>
    </row>
    <row r="1630" spans="6:8">
      <c r="F1630">
        <v>20509</v>
      </c>
      <c r="G1630">
        <v>6475</v>
      </c>
      <c r="H1630" s="9">
        <v>39915</v>
      </c>
    </row>
    <row r="1631" spans="6:8">
      <c r="F1631">
        <v>20510</v>
      </c>
      <c r="G1631">
        <v>6476</v>
      </c>
      <c r="H1631" s="9">
        <v>39915</v>
      </c>
    </row>
    <row r="1632" spans="6:8">
      <c r="F1632">
        <v>20511</v>
      </c>
      <c r="G1632">
        <v>6477</v>
      </c>
      <c r="H1632" s="9">
        <v>39915</v>
      </c>
    </row>
    <row r="1633" spans="6:8">
      <c r="F1633">
        <v>20512</v>
      </c>
      <c r="G1633">
        <v>6478</v>
      </c>
      <c r="H1633" s="9">
        <v>39915</v>
      </c>
    </row>
    <row r="1634" spans="6:8">
      <c r="F1634">
        <v>20513</v>
      </c>
      <c r="G1634">
        <v>6479</v>
      </c>
      <c r="H1634" s="9">
        <v>39915</v>
      </c>
    </row>
    <row r="1635" spans="6:8">
      <c r="F1635">
        <v>20517</v>
      </c>
      <c r="G1635">
        <v>2288</v>
      </c>
      <c r="H1635" s="9">
        <v>39915</v>
      </c>
    </row>
    <row r="1636" spans="6:8">
      <c r="F1636">
        <v>20555</v>
      </c>
      <c r="G1636">
        <v>1577</v>
      </c>
      <c r="H1636" s="9">
        <v>39915</v>
      </c>
    </row>
    <row r="1637" spans="6:8">
      <c r="F1637">
        <v>20563</v>
      </c>
      <c r="G1637">
        <v>1671</v>
      </c>
      <c r="H1637" s="9">
        <v>39915</v>
      </c>
    </row>
    <row r="1638" spans="6:8">
      <c r="F1638">
        <v>20597</v>
      </c>
      <c r="G1638">
        <v>3881</v>
      </c>
      <c r="H1638" s="9">
        <v>39916</v>
      </c>
    </row>
    <row r="1639" spans="6:8">
      <c r="F1639">
        <v>20609</v>
      </c>
      <c r="G1639">
        <v>4031</v>
      </c>
      <c r="H1639" s="9">
        <v>39916</v>
      </c>
    </row>
    <row r="1640" spans="6:8">
      <c r="F1640">
        <v>20616</v>
      </c>
      <c r="G1640">
        <v>1263</v>
      </c>
      <c r="H1640" s="9">
        <v>39916</v>
      </c>
    </row>
    <row r="1641" spans="6:8">
      <c r="F1641">
        <v>20617</v>
      </c>
      <c r="G1641">
        <v>3896</v>
      </c>
      <c r="H1641" s="9">
        <v>39916</v>
      </c>
    </row>
    <row r="1642" spans="6:8">
      <c r="F1642">
        <v>20627</v>
      </c>
      <c r="G1642">
        <v>1257</v>
      </c>
      <c r="H1642" s="9">
        <v>39916</v>
      </c>
    </row>
    <row r="1643" spans="6:8">
      <c r="F1643">
        <v>20643</v>
      </c>
      <c r="G1643">
        <v>128</v>
      </c>
      <c r="H1643" s="9">
        <v>39916</v>
      </c>
    </row>
    <row r="1644" spans="6:8">
      <c r="F1644">
        <v>20656</v>
      </c>
      <c r="G1644">
        <v>4374</v>
      </c>
      <c r="H1644" s="9">
        <v>39916</v>
      </c>
    </row>
    <row r="1645" spans="6:8">
      <c r="F1645">
        <v>20663</v>
      </c>
      <c r="G1645">
        <v>4903</v>
      </c>
      <c r="H1645" s="9">
        <v>39916</v>
      </c>
    </row>
    <row r="1646" spans="6:8">
      <c r="F1646">
        <v>20675</v>
      </c>
      <c r="G1646">
        <v>1331</v>
      </c>
      <c r="H1646" s="9">
        <v>39916</v>
      </c>
    </row>
    <row r="1647" spans="6:8">
      <c r="F1647">
        <v>20692</v>
      </c>
      <c r="G1647">
        <v>6486</v>
      </c>
      <c r="H1647" s="9">
        <v>39917</v>
      </c>
    </row>
    <row r="1648" spans="6:8">
      <c r="F1648">
        <v>20703</v>
      </c>
      <c r="G1648">
        <v>6494</v>
      </c>
      <c r="H1648" s="9">
        <v>39918</v>
      </c>
    </row>
    <row r="1649" spans="6:8">
      <c r="F1649">
        <v>20715</v>
      </c>
      <c r="G1649">
        <v>1912</v>
      </c>
      <c r="H1649" s="9">
        <v>39919</v>
      </c>
    </row>
    <row r="1650" spans="6:8">
      <c r="F1650">
        <v>20720</v>
      </c>
      <c r="G1650">
        <v>3424</v>
      </c>
      <c r="H1650" s="9">
        <v>39919</v>
      </c>
    </row>
    <row r="1651" spans="6:8">
      <c r="F1651">
        <v>20726</v>
      </c>
      <c r="G1651">
        <v>1073</v>
      </c>
      <c r="H1651" s="9">
        <v>39919</v>
      </c>
    </row>
    <row r="1652" spans="6:8">
      <c r="F1652">
        <v>20807</v>
      </c>
      <c r="G1652">
        <v>3149</v>
      </c>
      <c r="H1652" s="9">
        <v>39922</v>
      </c>
    </row>
    <row r="1653" spans="6:8">
      <c r="F1653">
        <v>20814</v>
      </c>
      <c r="G1653">
        <v>6498</v>
      </c>
      <c r="H1653" s="9">
        <v>39922</v>
      </c>
    </row>
    <row r="1654" spans="6:8">
      <c r="F1654">
        <v>20820</v>
      </c>
      <c r="G1654">
        <v>6176</v>
      </c>
      <c r="H1654" s="9">
        <v>39922</v>
      </c>
    </row>
    <row r="1655" spans="6:8">
      <c r="F1655">
        <v>20823</v>
      </c>
      <c r="G1655">
        <v>6499</v>
      </c>
      <c r="H1655" s="9">
        <v>39922</v>
      </c>
    </row>
    <row r="1656" spans="6:8">
      <c r="F1656">
        <v>20824</v>
      </c>
      <c r="G1656">
        <v>6501</v>
      </c>
      <c r="H1656" s="9">
        <v>39922</v>
      </c>
    </row>
    <row r="1657" spans="6:8">
      <c r="F1657">
        <v>20851</v>
      </c>
      <c r="G1657">
        <v>5597</v>
      </c>
      <c r="H1657" s="9">
        <v>39922</v>
      </c>
    </row>
    <row r="1658" spans="6:8">
      <c r="F1658">
        <v>20950</v>
      </c>
      <c r="G1658">
        <v>4153</v>
      </c>
      <c r="H1658" s="9">
        <v>39926</v>
      </c>
    </row>
    <row r="1659" spans="6:8">
      <c r="F1659">
        <v>20977</v>
      </c>
      <c r="G1659">
        <v>4134</v>
      </c>
      <c r="H1659" s="9">
        <v>39926</v>
      </c>
    </row>
    <row r="1660" spans="6:8">
      <c r="F1660">
        <v>20979</v>
      </c>
      <c r="G1660">
        <v>6214</v>
      </c>
      <c r="H1660" s="9">
        <v>39926</v>
      </c>
    </row>
    <row r="1661" spans="6:8">
      <c r="F1661">
        <v>21007</v>
      </c>
      <c r="G1661">
        <v>1515</v>
      </c>
      <c r="H1661" s="9">
        <v>39926</v>
      </c>
    </row>
    <row r="1662" spans="6:8">
      <c r="F1662">
        <v>21020</v>
      </c>
      <c r="G1662">
        <v>864</v>
      </c>
      <c r="H1662" s="9">
        <v>39926</v>
      </c>
    </row>
    <row r="1663" spans="6:8">
      <c r="F1663">
        <v>21061</v>
      </c>
      <c r="G1663">
        <v>5909</v>
      </c>
      <c r="H1663" s="9">
        <v>39926</v>
      </c>
    </row>
    <row r="1664" spans="6:8">
      <c r="F1664">
        <v>21073</v>
      </c>
      <c r="G1664">
        <v>5909</v>
      </c>
      <c r="H1664" s="9">
        <v>39926</v>
      </c>
    </row>
    <row r="1665" spans="6:8">
      <c r="F1665">
        <v>21085</v>
      </c>
      <c r="G1665">
        <v>2107</v>
      </c>
      <c r="H1665" s="9">
        <v>39926</v>
      </c>
    </row>
    <row r="1666" spans="6:8">
      <c r="F1666">
        <v>21086</v>
      </c>
      <c r="G1666">
        <v>6509</v>
      </c>
      <c r="H1666" s="9">
        <v>39926</v>
      </c>
    </row>
    <row r="1667" spans="6:8">
      <c r="F1667">
        <v>21091</v>
      </c>
      <c r="G1667">
        <v>2791</v>
      </c>
      <c r="H1667" s="9">
        <v>39926</v>
      </c>
    </row>
    <row r="1668" spans="6:8">
      <c r="F1668">
        <v>21122</v>
      </c>
      <c r="G1668">
        <v>2175</v>
      </c>
      <c r="H1668" s="9">
        <v>39929</v>
      </c>
    </row>
    <row r="1669" spans="6:8">
      <c r="F1669">
        <v>21140</v>
      </c>
      <c r="G1669">
        <v>3108</v>
      </c>
      <c r="H1669" s="9">
        <v>39929</v>
      </c>
    </row>
    <row r="1670" spans="6:8">
      <c r="F1670">
        <v>21187</v>
      </c>
      <c r="G1670">
        <v>2156</v>
      </c>
      <c r="H1670" s="9">
        <v>39930</v>
      </c>
    </row>
    <row r="1671" spans="6:8">
      <c r="F1671">
        <v>21190</v>
      </c>
      <c r="G1671">
        <v>1987</v>
      </c>
      <c r="H1671" s="9">
        <v>39930</v>
      </c>
    </row>
    <row r="1672" spans="6:8">
      <c r="F1672">
        <v>21246</v>
      </c>
      <c r="G1672">
        <v>703</v>
      </c>
      <c r="H1672" s="9">
        <v>39930</v>
      </c>
    </row>
    <row r="1673" spans="6:8">
      <c r="F1673">
        <v>21250</v>
      </c>
      <c r="G1673">
        <v>173</v>
      </c>
      <c r="H1673" s="9">
        <v>39930</v>
      </c>
    </row>
    <row r="1674" spans="6:8">
      <c r="F1674">
        <v>21310</v>
      </c>
      <c r="G1674">
        <v>3542</v>
      </c>
      <c r="H1674" s="9">
        <v>39931</v>
      </c>
    </row>
    <row r="1675" spans="6:8">
      <c r="F1675">
        <v>21311</v>
      </c>
      <c r="G1675">
        <v>4040</v>
      </c>
      <c r="H1675" s="9">
        <v>39931</v>
      </c>
    </row>
    <row r="1676" spans="6:8">
      <c r="F1676">
        <v>21321</v>
      </c>
      <c r="G1676">
        <v>3803</v>
      </c>
      <c r="H1676" s="9">
        <v>39931</v>
      </c>
    </row>
    <row r="1677" spans="6:8">
      <c r="F1677">
        <v>21323</v>
      </c>
      <c r="G1677">
        <v>656</v>
      </c>
      <c r="H1677" s="9">
        <v>39931</v>
      </c>
    </row>
    <row r="1678" spans="6:8">
      <c r="F1678">
        <v>21354</v>
      </c>
      <c r="G1678">
        <v>2925</v>
      </c>
      <c r="H1678" s="9">
        <v>39931</v>
      </c>
    </row>
    <row r="1679" spans="6:8">
      <c r="F1679">
        <v>21364</v>
      </c>
      <c r="G1679">
        <v>1141</v>
      </c>
      <c r="H1679" s="9">
        <v>39931</v>
      </c>
    </row>
    <row r="1680" spans="6:8">
      <c r="F1680">
        <v>21366</v>
      </c>
      <c r="G1680">
        <v>2670</v>
      </c>
      <c r="H1680" s="9">
        <v>39931</v>
      </c>
    </row>
    <row r="1681" spans="6:8">
      <c r="F1681">
        <v>21367</v>
      </c>
      <c r="G1681">
        <v>829</v>
      </c>
      <c r="H1681" s="9">
        <v>39931</v>
      </c>
    </row>
    <row r="1682" spans="6:8">
      <c r="F1682">
        <v>21370</v>
      </c>
      <c r="G1682">
        <v>6019</v>
      </c>
      <c r="H1682" s="9">
        <v>39931</v>
      </c>
    </row>
    <row r="1683" spans="6:8">
      <c r="F1683">
        <v>21373</v>
      </c>
      <c r="G1683">
        <v>3101</v>
      </c>
      <c r="H1683" s="9">
        <v>39931</v>
      </c>
    </row>
    <row r="1684" spans="6:8">
      <c r="F1684">
        <v>21380</v>
      </c>
      <c r="G1684">
        <v>6516</v>
      </c>
      <c r="H1684" s="9">
        <v>39932</v>
      </c>
    </row>
    <row r="1685" spans="6:8">
      <c r="F1685">
        <v>21424</v>
      </c>
      <c r="G1685">
        <v>3365</v>
      </c>
      <c r="H1685" s="9">
        <v>39932</v>
      </c>
    </row>
    <row r="1686" spans="6:8">
      <c r="F1686">
        <v>21454</v>
      </c>
      <c r="G1686">
        <v>6523</v>
      </c>
      <c r="H1686" s="9">
        <v>39937</v>
      </c>
    </row>
    <row r="1687" spans="6:8">
      <c r="F1687">
        <v>21460</v>
      </c>
      <c r="G1687">
        <v>6524</v>
      </c>
      <c r="H1687" s="9">
        <v>39938</v>
      </c>
    </row>
    <row r="1688" spans="6:8">
      <c r="F1688">
        <v>21526</v>
      </c>
      <c r="G1688">
        <v>6529</v>
      </c>
      <c r="H1688" s="9">
        <v>39938</v>
      </c>
    </row>
    <row r="1689" spans="6:8">
      <c r="F1689">
        <v>21530</v>
      </c>
      <c r="G1689">
        <v>6533</v>
      </c>
      <c r="H1689" s="9">
        <v>39938</v>
      </c>
    </row>
    <row r="1690" spans="6:8">
      <c r="F1690">
        <v>21539</v>
      </c>
      <c r="G1690">
        <v>6542</v>
      </c>
      <c r="H1690" s="9">
        <v>39938</v>
      </c>
    </row>
    <row r="1691" spans="6:8">
      <c r="F1691">
        <v>21541</v>
      </c>
      <c r="G1691">
        <v>6544</v>
      </c>
      <c r="H1691" s="9">
        <v>39938</v>
      </c>
    </row>
    <row r="1692" spans="6:8">
      <c r="F1692">
        <v>21543</v>
      </c>
      <c r="G1692">
        <v>6546</v>
      </c>
      <c r="H1692" s="9">
        <v>39938</v>
      </c>
    </row>
    <row r="1693" spans="6:8">
      <c r="F1693">
        <v>21544</v>
      </c>
      <c r="G1693">
        <v>6547</v>
      </c>
      <c r="H1693" s="9">
        <v>39938</v>
      </c>
    </row>
    <row r="1694" spans="6:8">
      <c r="F1694">
        <v>21545</v>
      </c>
      <c r="G1694">
        <v>6548</v>
      </c>
      <c r="H1694" s="9">
        <v>39938</v>
      </c>
    </row>
    <row r="1695" spans="6:8">
      <c r="F1695">
        <v>21546</v>
      </c>
      <c r="G1695">
        <v>6549</v>
      </c>
      <c r="H1695" s="9">
        <v>39938</v>
      </c>
    </row>
    <row r="1696" spans="6:8">
      <c r="F1696">
        <v>21547</v>
      </c>
      <c r="G1696">
        <v>6550</v>
      </c>
      <c r="H1696" s="9">
        <v>39938</v>
      </c>
    </row>
    <row r="1697" spans="6:8">
      <c r="F1697">
        <v>21552</v>
      </c>
      <c r="G1697">
        <v>6553</v>
      </c>
      <c r="H1697" s="9">
        <v>39938</v>
      </c>
    </row>
    <row r="1698" spans="6:8">
      <c r="F1698">
        <v>21571</v>
      </c>
      <c r="G1698">
        <v>2521</v>
      </c>
      <c r="H1698" s="9">
        <v>39938</v>
      </c>
    </row>
    <row r="1699" spans="6:8">
      <c r="F1699">
        <v>21576</v>
      </c>
      <c r="G1699">
        <v>5652</v>
      </c>
      <c r="H1699" s="9">
        <v>39938</v>
      </c>
    </row>
    <row r="1700" spans="6:8">
      <c r="F1700">
        <v>21578</v>
      </c>
      <c r="G1700">
        <v>5937</v>
      </c>
      <c r="H1700" s="9">
        <v>39938</v>
      </c>
    </row>
    <row r="1701" spans="6:8">
      <c r="F1701">
        <v>21594</v>
      </c>
      <c r="G1701">
        <v>6577</v>
      </c>
      <c r="H1701" s="9">
        <v>39938</v>
      </c>
    </row>
    <row r="1702" spans="6:8">
      <c r="F1702">
        <v>21621</v>
      </c>
      <c r="G1702">
        <v>5647</v>
      </c>
      <c r="H1702" s="9">
        <v>39939</v>
      </c>
    </row>
    <row r="1703" spans="6:8">
      <c r="F1703">
        <v>21629</v>
      </c>
      <c r="G1703">
        <v>2353</v>
      </c>
      <c r="H1703" s="9">
        <v>39939</v>
      </c>
    </row>
    <row r="1704" spans="6:8">
      <c r="F1704">
        <v>21705</v>
      </c>
      <c r="G1704">
        <v>5770</v>
      </c>
      <c r="H1704" s="9">
        <v>39943</v>
      </c>
    </row>
    <row r="1705" spans="6:8">
      <c r="F1705">
        <v>21755</v>
      </c>
      <c r="G1705">
        <v>4716</v>
      </c>
      <c r="H1705" s="9">
        <v>39943</v>
      </c>
    </row>
    <row r="1706" spans="6:8">
      <c r="F1706">
        <v>21763</v>
      </c>
      <c r="G1706">
        <v>6582</v>
      </c>
      <c r="H1706" s="9">
        <v>39943</v>
      </c>
    </row>
    <row r="1707" spans="6:8">
      <c r="F1707">
        <v>21765</v>
      </c>
      <c r="G1707">
        <v>4168</v>
      </c>
      <c r="H1707" s="9">
        <v>39943</v>
      </c>
    </row>
    <row r="1708" spans="6:8">
      <c r="F1708">
        <v>21806</v>
      </c>
      <c r="G1708">
        <v>6584</v>
      </c>
      <c r="H1708" s="9">
        <v>39944</v>
      </c>
    </row>
    <row r="1709" spans="6:8">
      <c r="F1709">
        <v>21808</v>
      </c>
      <c r="G1709">
        <v>6586</v>
      </c>
      <c r="H1709" s="9">
        <v>39944</v>
      </c>
    </row>
    <row r="1710" spans="6:8">
      <c r="F1710">
        <v>21815</v>
      </c>
      <c r="G1710">
        <v>6212</v>
      </c>
      <c r="H1710" s="9">
        <v>39944</v>
      </c>
    </row>
    <row r="1711" spans="6:8">
      <c r="F1711">
        <v>21829</v>
      </c>
      <c r="G1711">
        <v>166</v>
      </c>
      <c r="H1711" s="9">
        <v>39944</v>
      </c>
    </row>
    <row r="1712" spans="6:8">
      <c r="F1712">
        <v>21833</v>
      </c>
      <c r="G1712">
        <v>6008</v>
      </c>
      <c r="H1712" s="9">
        <v>39944</v>
      </c>
    </row>
    <row r="1713" spans="6:8">
      <c r="F1713">
        <v>21839</v>
      </c>
      <c r="G1713">
        <v>5904</v>
      </c>
      <c r="H1713" s="9">
        <v>39944</v>
      </c>
    </row>
    <row r="1714" spans="6:8">
      <c r="F1714">
        <v>21840</v>
      </c>
      <c r="G1714">
        <v>3113</v>
      </c>
      <c r="H1714" s="9">
        <v>39944</v>
      </c>
    </row>
    <row r="1715" spans="6:8">
      <c r="F1715">
        <v>21842</v>
      </c>
      <c r="G1715">
        <v>1256</v>
      </c>
      <c r="H1715" s="9">
        <v>39944</v>
      </c>
    </row>
    <row r="1716" spans="6:8">
      <c r="F1716">
        <v>21845</v>
      </c>
      <c r="G1716">
        <v>831</v>
      </c>
      <c r="H1716" s="9">
        <v>39944</v>
      </c>
    </row>
    <row r="1717" spans="6:8">
      <c r="F1717">
        <v>21858</v>
      </c>
      <c r="G1717">
        <v>3903</v>
      </c>
      <c r="H1717" s="9">
        <v>39944</v>
      </c>
    </row>
    <row r="1718" spans="6:8">
      <c r="F1718">
        <v>21885</v>
      </c>
      <c r="G1718">
        <v>2213</v>
      </c>
      <c r="H1718" s="9">
        <v>39944</v>
      </c>
    </row>
    <row r="1719" spans="6:8">
      <c r="F1719">
        <v>21895</v>
      </c>
      <c r="G1719">
        <v>1111</v>
      </c>
      <c r="H1719" s="9">
        <v>39944</v>
      </c>
    </row>
    <row r="1720" spans="6:8">
      <c r="F1720">
        <v>21900</v>
      </c>
      <c r="G1720">
        <v>3667</v>
      </c>
      <c r="H1720" s="9">
        <v>39945</v>
      </c>
    </row>
    <row r="1721" spans="6:8">
      <c r="F1721">
        <v>21901</v>
      </c>
      <c r="G1721">
        <v>5767</v>
      </c>
      <c r="H1721" s="9">
        <v>39945</v>
      </c>
    </row>
    <row r="1722" spans="6:8">
      <c r="F1722">
        <v>21903</v>
      </c>
      <c r="G1722">
        <v>6593</v>
      </c>
      <c r="H1722" s="9">
        <v>39945</v>
      </c>
    </row>
    <row r="1723" spans="6:8">
      <c r="F1723">
        <v>21986</v>
      </c>
      <c r="G1723">
        <v>4016</v>
      </c>
      <c r="H1723" s="9">
        <v>39947</v>
      </c>
    </row>
    <row r="1724" spans="6:8">
      <c r="F1724">
        <v>21989</v>
      </c>
      <c r="G1724">
        <v>3935</v>
      </c>
      <c r="H1724" s="9">
        <v>39947</v>
      </c>
    </row>
    <row r="1725" spans="6:8">
      <c r="F1725">
        <v>22073</v>
      </c>
      <c r="G1725">
        <v>1646</v>
      </c>
      <c r="H1725" s="9">
        <v>39951</v>
      </c>
    </row>
    <row r="1726" spans="6:8">
      <c r="F1726">
        <v>22089</v>
      </c>
      <c r="G1726">
        <v>4891</v>
      </c>
      <c r="H1726" s="9">
        <v>39951</v>
      </c>
    </row>
    <row r="1727" spans="6:8">
      <c r="F1727">
        <v>22181</v>
      </c>
      <c r="G1727">
        <v>3367</v>
      </c>
      <c r="H1727" s="9">
        <v>39953</v>
      </c>
    </row>
    <row r="1728" spans="6:8">
      <c r="F1728">
        <v>22183</v>
      </c>
      <c r="G1728">
        <v>2970</v>
      </c>
      <c r="H1728" s="9">
        <v>39953</v>
      </c>
    </row>
    <row r="1729" spans="6:8">
      <c r="F1729">
        <v>22199</v>
      </c>
      <c r="G1729">
        <v>3887</v>
      </c>
      <c r="H1729" s="9">
        <v>39953</v>
      </c>
    </row>
    <row r="1730" spans="6:8">
      <c r="F1730">
        <v>22202</v>
      </c>
      <c r="G1730">
        <v>604</v>
      </c>
      <c r="H1730" s="9">
        <v>39953</v>
      </c>
    </row>
    <row r="1731" spans="6:8">
      <c r="F1731">
        <v>22216</v>
      </c>
      <c r="G1731">
        <v>1897</v>
      </c>
      <c r="H1731" s="9">
        <v>39960</v>
      </c>
    </row>
    <row r="1732" spans="6:8">
      <c r="F1732">
        <v>22228</v>
      </c>
      <c r="G1732">
        <v>5361</v>
      </c>
      <c r="H1732" s="9">
        <v>39960</v>
      </c>
    </row>
    <row r="1733" spans="6:8">
      <c r="F1733">
        <v>22229</v>
      </c>
      <c r="G1733">
        <v>653</v>
      </c>
      <c r="H1733" s="9">
        <v>39960</v>
      </c>
    </row>
    <row r="1734" spans="6:8">
      <c r="F1734">
        <v>22240</v>
      </c>
      <c r="G1734">
        <v>4272</v>
      </c>
      <c r="H1734" s="9">
        <v>39961</v>
      </c>
    </row>
    <row r="1735" spans="6:8">
      <c r="F1735">
        <v>22250</v>
      </c>
      <c r="G1735">
        <v>3798</v>
      </c>
      <c r="H1735" s="9">
        <v>39961</v>
      </c>
    </row>
    <row r="1736" spans="6:8">
      <c r="F1736">
        <v>22263</v>
      </c>
      <c r="G1736">
        <v>6645</v>
      </c>
      <c r="H1736" s="9">
        <v>39962</v>
      </c>
    </row>
    <row r="1737" spans="6:8">
      <c r="F1737">
        <v>22292</v>
      </c>
      <c r="G1737">
        <v>6650</v>
      </c>
      <c r="H1737" s="9">
        <v>39964</v>
      </c>
    </row>
    <row r="1738" spans="6:8">
      <c r="F1738">
        <v>22305</v>
      </c>
      <c r="G1738">
        <v>762</v>
      </c>
      <c r="H1738" s="9">
        <v>39966</v>
      </c>
    </row>
    <row r="1739" spans="6:8">
      <c r="F1739">
        <v>22408</v>
      </c>
      <c r="G1739">
        <v>2784</v>
      </c>
      <c r="H1739" s="9">
        <v>39967</v>
      </c>
    </row>
    <row r="1740" spans="6:8">
      <c r="F1740">
        <v>22410</v>
      </c>
      <c r="G1740">
        <v>4875</v>
      </c>
      <c r="H1740" s="9">
        <v>39967</v>
      </c>
    </row>
    <row r="1741" spans="6:8">
      <c r="F1741">
        <v>22417</v>
      </c>
      <c r="G1741">
        <v>2748</v>
      </c>
      <c r="H1741" s="9">
        <v>39967</v>
      </c>
    </row>
    <row r="1742" spans="6:8">
      <c r="F1742">
        <v>22428</v>
      </c>
      <c r="G1742">
        <v>2472</v>
      </c>
      <c r="H1742" s="9">
        <v>39967</v>
      </c>
    </row>
    <row r="1743" spans="6:8">
      <c r="F1743">
        <v>22429</v>
      </c>
      <c r="G1743">
        <v>2110</v>
      </c>
      <c r="H1743" s="9">
        <v>39967</v>
      </c>
    </row>
    <row r="1744" spans="6:8">
      <c r="F1744">
        <v>22434</v>
      </c>
      <c r="G1744">
        <v>1860</v>
      </c>
      <c r="H1744" s="9">
        <v>39967</v>
      </c>
    </row>
    <row r="1745" spans="6:8">
      <c r="F1745">
        <v>22439</v>
      </c>
      <c r="G1745">
        <v>2738</v>
      </c>
      <c r="H1745" s="9">
        <v>39967</v>
      </c>
    </row>
    <row r="1746" spans="6:8">
      <c r="F1746">
        <v>22472</v>
      </c>
      <c r="G1746">
        <v>6653</v>
      </c>
      <c r="H1746" s="9">
        <v>39967</v>
      </c>
    </row>
    <row r="1747" spans="6:8">
      <c r="F1747">
        <v>22492</v>
      </c>
      <c r="G1747">
        <v>6654</v>
      </c>
      <c r="H1747" s="9">
        <v>39967</v>
      </c>
    </row>
    <row r="1748" spans="6:8">
      <c r="F1748">
        <v>22503</v>
      </c>
      <c r="G1748">
        <v>6656</v>
      </c>
      <c r="H1748" s="9">
        <v>39967</v>
      </c>
    </row>
    <row r="1749" spans="6:8">
      <c r="F1749">
        <v>22518</v>
      </c>
      <c r="G1749">
        <v>1359</v>
      </c>
      <c r="H1749" s="9">
        <v>39968</v>
      </c>
    </row>
    <row r="1750" spans="6:8">
      <c r="F1750">
        <v>22520</v>
      </c>
      <c r="G1750">
        <v>2735</v>
      </c>
      <c r="H1750" s="9">
        <v>39968</v>
      </c>
    </row>
    <row r="1751" spans="6:8">
      <c r="F1751">
        <v>22522</v>
      </c>
      <c r="G1751">
        <v>6657</v>
      </c>
      <c r="H1751" s="9">
        <v>39968</v>
      </c>
    </row>
    <row r="1752" spans="6:8">
      <c r="F1752">
        <v>22532</v>
      </c>
      <c r="G1752">
        <v>5123</v>
      </c>
      <c r="H1752" s="9">
        <v>39972</v>
      </c>
    </row>
    <row r="1753" spans="6:8">
      <c r="F1753">
        <v>22597</v>
      </c>
      <c r="G1753">
        <v>1047</v>
      </c>
      <c r="H1753" s="9">
        <v>39974</v>
      </c>
    </row>
    <row r="1754" spans="6:8">
      <c r="F1754">
        <v>22620</v>
      </c>
      <c r="G1754">
        <v>2031</v>
      </c>
      <c r="H1754" s="9">
        <v>40057</v>
      </c>
    </row>
    <row r="1755" spans="6:8">
      <c r="F1755">
        <v>22643</v>
      </c>
      <c r="G1755">
        <v>3216</v>
      </c>
      <c r="H1755" s="9">
        <v>39979</v>
      </c>
    </row>
    <row r="1756" spans="6:8">
      <c r="F1756">
        <v>22644</v>
      </c>
      <c r="G1756">
        <v>3127</v>
      </c>
      <c r="H1756" s="9">
        <v>39979</v>
      </c>
    </row>
    <row r="1757" spans="6:8">
      <c r="F1757">
        <v>22646</v>
      </c>
      <c r="G1757">
        <v>5756</v>
      </c>
      <c r="H1757" s="9">
        <v>39979</v>
      </c>
    </row>
    <row r="1758" spans="6:8">
      <c r="F1758">
        <v>22653</v>
      </c>
      <c r="G1758">
        <v>5304</v>
      </c>
      <c r="H1758" s="9">
        <v>39979</v>
      </c>
    </row>
    <row r="1759" spans="6:8">
      <c r="F1759">
        <v>22655</v>
      </c>
      <c r="G1759">
        <v>3729</v>
      </c>
      <c r="H1759" s="9">
        <v>39979</v>
      </c>
    </row>
    <row r="1760" spans="6:8">
      <c r="F1760">
        <v>22664</v>
      </c>
      <c r="G1760">
        <v>5379</v>
      </c>
      <c r="H1760" s="9">
        <v>39979</v>
      </c>
    </row>
    <row r="1761" spans="6:8">
      <c r="F1761">
        <v>22665</v>
      </c>
      <c r="G1761">
        <v>5142</v>
      </c>
      <c r="H1761" s="9">
        <v>39979</v>
      </c>
    </row>
    <row r="1762" spans="6:8">
      <c r="F1762">
        <v>22667</v>
      </c>
      <c r="G1762">
        <v>6661</v>
      </c>
      <c r="H1762" s="9">
        <v>39979</v>
      </c>
    </row>
    <row r="1763" spans="6:8">
      <c r="F1763">
        <v>22709</v>
      </c>
      <c r="G1763">
        <v>2829</v>
      </c>
      <c r="H1763" s="9">
        <v>39979</v>
      </c>
    </row>
    <row r="1764" spans="6:8">
      <c r="F1764">
        <v>22726</v>
      </c>
      <c r="G1764">
        <v>3057</v>
      </c>
      <c r="H1764" s="9">
        <v>39979</v>
      </c>
    </row>
    <row r="1765" spans="6:8">
      <c r="F1765">
        <v>22729</v>
      </c>
      <c r="G1765">
        <v>6666</v>
      </c>
      <c r="H1765" s="9">
        <v>39979</v>
      </c>
    </row>
    <row r="1766" spans="6:8">
      <c r="F1766">
        <v>22790</v>
      </c>
      <c r="G1766">
        <v>6086</v>
      </c>
      <c r="H1766" s="9">
        <v>39980</v>
      </c>
    </row>
    <row r="1767" spans="6:8">
      <c r="F1767">
        <v>22793</v>
      </c>
      <c r="G1767">
        <v>6667</v>
      </c>
      <c r="H1767" s="9">
        <v>39980</v>
      </c>
    </row>
    <row r="1768" spans="6:8">
      <c r="F1768">
        <v>22800</v>
      </c>
      <c r="G1768">
        <v>2606</v>
      </c>
      <c r="H1768" s="9">
        <v>39980</v>
      </c>
    </row>
    <row r="1769" spans="6:8">
      <c r="F1769">
        <v>22836</v>
      </c>
      <c r="G1769">
        <v>6672</v>
      </c>
      <c r="H1769" s="9">
        <v>39980</v>
      </c>
    </row>
    <row r="1770" spans="6:8">
      <c r="F1770">
        <v>22882</v>
      </c>
      <c r="G1770">
        <v>3004</v>
      </c>
      <c r="H1770" s="9">
        <v>39981</v>
      </c>
    </row>
    <row r="1771" spans="6:8">
      <c r="F1771">
        <v>22920</v>
      </c>
      <c r="G1771">
        <v>2338</v>
      </c>
      <c r="H1771" s="9">
        <v>39985</v>
      </c>
    </row>
    <row r="1772" spans="6:8">
      <c r="F1772">
        <v>22937</v>
      </c>
      <c r="G1772">
        <v>914</v>
      </c>
      <c r="H1772" s="9">
        <v>39985</v>
      </c>
    </row>
    <row r="1773" spans="6:8">
      <c r="F1773">
        <v>22975</v>
      </c>
      <c r="G1773">
        <v>237</v>
      </c>
      <c r="H1773" s="9">
        <v>39985</v>
      </c>
    </row>
    <row r="1774" spans="6:8">
      <c r="F1774">
        <v>22991</v>
      </c>
      <c r="G1774">
        <v>4299</v>
      </c>
      <c r="H1774" s="9">
        <v>39985</v>
      </c>
    </row>
    <row r="1775" spans="6:8">
      <c r="F1775">
        <v>22995</v>
      </c>
      <c r="G1775">
        <v>5662</v>
      </c>
      <c r="H1775" s="9">
        <v>39986</v>
      </c>
    </row>
    <row r="1776" spans="6:8">
      <c r="F1776">
        <v>23010</v>
      </c>
      <c r="G1776">
        <v>4366</v>
      </c>
      <c r="H1776" s="9">
        <v>39987</v>
      </c>
    </row>
    <row r="1777" spans="6:8">
      <c r="F1777">
        <v>23012</v>
      </c>
      <c r="G1777">
        <v>6679</v>
      </c>
      <c r="H1777" s="9">
        <v>39987</v>
      </c>
    </row>
    <row r="1778" spans="6:8">
      <c r="F1778">
        <v>23015</v>
      </c>
      <c r="G1778">
        <v>5365</v>
      </c>
      <c r="H1778" s="9">
        <v>39987</v>
      </c>
    </row>
    <row r="1779" spans="6:8">
      <c r="F1779">
        <v>23019</v>
      </c>
      <c r="G1779">
        <v>6046</v>
      </c>
      <c r="H1779" s="9">
        <v>39987</v>
      </c>
    </row>
    <row r="1780" spans="6:8">
      <c r="F1780">
        <v>23021</v>
      </c>
      <c r="G1780">
        <v>4885</v>
      </c>
      <c r="H1780" s="9">
        <v>39987</v>
      </c>
    </row>
    <row r="1781" spans="6:8">
      <c r="F1781">
        <v>23028</v>
      </c>
      <c r="G1781">
        <v>5701</v>
      </c>
      <c r="H1781" s="9">
        <v>39989</v>
      </c>
    </row>
    <row r="1782" spans="6:8">
      <c r="F1782">
        <v>23040</v>
      </c>
      <c r="G1782">
        <v>5121</v>
      </c>
      <c r="H1782" s="9">
        <v>39992</v>
      </c>
    </row>
    <row r="1783" spans="6:8">
      <c r="F1783">
        <v>23047</v>
      </c>
      <c r="G1783">
        <v>3699</v>
      </c>
      <c r="H1783" s="9">
        <v>39993</v>
      </c>
    </row>
    <row r="1784" spans="6:8">
      <c r="F1784">
        <v>23053</v>
      </c>
      <c r="G1784">
        <v>5178</v>
      </c>
      <c r="H1784" s="9">
        <v>39993</v>
      </c>
    </row>
    <row r="1785" spans="6:8">
      <c r="F1785">
        <v>23059</v>
      </c>
      <c r="G1785">
        <v>6680</v>
      </c>
      <c r="H1785" s="9">
        <v>39993</v>
      </c>
    </row>
    <row r="1786" spans="6:8">
      <c r="F1786">
        <v>23078</v>
      </c>
      <c r="G1786">
        <v>6682</v>
      </c>
      <c r="H1786" s="9">
        <v>39994</v>
      </c>
    </row>
    <row r="1787" spans="6:8">
      <c r="F1787">
        <v>23081</v>
      </c>
      <c r="G1787">
        <v>6683</v>
      </c>
      <c r="H1787" s="9">
        <v>39994</v>
      </c>
    </row>
    <row r="1788" spans="6:8">
      <c r="F1788">
        <v>23082</v>
      </c>
      <c r="G1788">
        <v>655</v>
      </c>
      <c r="H1788" s="9">
        <v>39994</v>
      </c>
    </row>
    <row r="1789" spans="6:8">
      <c r="F1789">
        <v>23097</v>
      </c>
      <c r="G1789">
        <v>2268</v>
      </c>
      <c r="H1789" s="9">
        <v>39994</v>
      </c>
    </row>
    <row r="1790" spans="6:8">
      <c r="F1790">
        <v>23150</v>
      </c>
      <c r="G1790">
        <v>1117</v>
      </c>
      <c r="H1790" s="9">
        <v>39994</v>
      </c>
    </row>
    <row r="1791" spans="6:8">
      <c r="F1791">
        <v>23156</v>
      </c>
      <c r="G1791">
        <v>5919</v>
      </c>
      <c r="H1791" s="9">
        <v>39994</v>
      </c>
    </row>
    <row r="1792" spans="6:8">
      <c r="F1792">
        <v>23173</v>
      </c>
      <c r="G1792">
        <v>2732</v>
      </c>
      <c r="H1792" s="9">
        <v>39994</v>
      </c>
    </row>
    <row r="1793" spans="6:8">
      <c r="F1793">
        <v>23179</v>
      </c>
      <c r="G1793">
        <v>2691</v>
      </c>
      <c r="H1793" s="9">
        <v>39994</v>
      </c>
    </row>
    <row r="1794" spans="6:8">
      <c r="F1794">
        <v>23185</v>
      </c>
      <c r="G1794">
        <v>2816</v>
      </c>
      <c r="H1794" s="9">
        <v>39994</v>
      </c>
    </row>
    <row r="1795" spans="6:8">
      <c r="F1795">
        <v>23228</v>
      </c>
      <c r="G1795">
        <v>5158</v>
      </c>
      <c r="H1795" s="9">
        <v>39995</v>
      </c>
    </row>
    <row r="1796" spans="6:8">
      <c r="F1796">
        <v>23261</v>
      </c>
      <c r="G1796">
        <v>448</v>
      </c>
      <c r="H1796" s="9">
        <v>39995</v>
      </c>
    </row>
    <row r="1797" spans="6:8">
      <c r="F1797">
        <v>23293</v>
      </c>
      <c r="G1797">
        <v>6235</v>
      </c>
      <c r="H1797" s="9">
        <v>39995</v>
      </c>
    </row>
    <row r="1798" spans="6:8">
      <c r="F1798">
        <v>23295</v>
      </c>
      <c r="G1798">
        <v>6235</v>
      </c>
      <c r="H1798" s="9">
        <v>39995</v>
      </c>
    </row>
    <row r="1799" spans="6:8">
      <c r="F1799">
        <v>23301</v>
      </c>
      <c r="G1799">
        <v>6576</v>
      </c>
      <c r="H1799" s="9">
        <v>39995</v>
      </c>
    </row>
    <row r="1800" spans="6:8">
      <c r="F1800">
        <v>23334</v>
      </c>
      <c r="G1800">
        <v>229</v>
      </c>
      <c r="H1800" s="9">
        <v>39995</v>
      </c>
    </row>
    <row r="1801" spans="6:8">
      <c r="F1801">
        <v>23343</v>
      </c>
      <c r="G1801">
        <v>4429</v>
      </c>
      <c r="H1801" s="9">
        <v>39995</v>
      </c>
    </row>
    <row r="1802" spans="6:8">
      <c r="F1802">
        <v>23398</v>
      </c>
      <c r="G1802">
        <v>1975</v>
      </c>
      <c r="H1802" s="9">
        <v>39999</v>
      </c>
    </row>
    <row r="1803" spans="6:8">
      <c r="F1803">
        <v>23407</v>
      </c>
      <c r="G1803">
        <v>1669</v>
      </c>
      <c r="H1803" s="9">
        <v>39999</v>
      </c>
    </row>
    <row r="1804" spans="6:8">
      <c r="F1804">
        <v>23408</v>
      </c>
      <c r="G1804">
        <v>1686</v>
      </c>
      <c r="H1804" s="9">
        <v>39999</v>
      </c>
    </row>
    <row r="1805" spans="6:8">
      <c r="F1805">
        <v>23416</v>
      </c>
      <c r="G1805">
        <v>6691</v>
      </c>
      <c r="H1805" s="9">
        <v>39999</v>
      </c>
    </row>
    <row r="1806" spans="6:8">
      <c r="F1806">
        <v>23424</v>
      </c>
      <c r="G1806">
        <v>3001</v>
      </c>
      <c r="H1806" s="9">
        <v>39999</v>
      </c>
    </row>
    <row r="1807" spans="6:8">
      <c r="F1807">
        <v>23457</v>
      </c>
      <c r="G1807">
        <v>1975</v>
      </c>
      <c r="H1807" s="9">
        <v>39999</v>
      </c>
    </row>
    <row r="1808" spans="6:8">
      <c r="F1808">
        <v>23459</v>
      </c>
      <c r="G1808">
        <v>1994</v>
      </c>
      <c r="H1808" s="9">
        <v>39999</v>
      </c>
    </row>
    <row r="1809" spans="6:8">
      <c r="F1809">
        <v>23554</v>
      </c>
      <c r="G1809">
        <v>6694</v>
      </c>
      <c r="H1809" s="9">
        <v>40002</v>
      </c>
    </row>
    <row r="1810" spans="6:8">
      <c r="F1810">
        <v>23566</v>
      </c>
      <c r="G1810">
        <v>5383</v>
      </c>
      <c r="H1810" s="9">
        <v>40002</v>
      </c>
    </row>
    <row r="1811" spans="6:8">
      <c r="F1811">
        <v>23583</v>
      </c>
      <c r="G1811">
        <v>6234</v>
      </c>
      <c r="H1811" s="9">
        <v>40002</v>
      </c>
    </row>
    <row r="1812" spans="6:8">
      <c r="F1812">
        <v>23598</v>
      </c>
      <c r="G1812">
        <v>1538</v>
      </c>
      <c r="H1812" s="9">
        <v>40002</v>
      </c>
    </row>
    <row r="1813" spans="6:8">
      <c r="F1813">
        <v>23615</v>
      </c>
      <c r="G1813">
        <v>3744</v>
      </c>
      <c r="H1813" s="9">
        <v>40002</v>
      </c>
    </row>
    <row r="1814" spans="6:8">
      <c r="F1814">
        <v>23618</v>
      </c>
      <c r="G1814">
        <v>5939</v>
      </c>
      <c r="H1814" s="9">
        <v>40002</v>
      </c>
    </row>
    <row r="1815" spans="6:8">
      <c r="F1815">
        <v>23630</v>
      </c>
      <c r="G1815">
        <v>6241</v>
      </c>
      <c r="H1815" s="9">
        <v>40032</v>
      </c>
    </row>
    <row r="1816" spans="6:8">
      <c r="F1816">
        <v>23634</v>
      </c>
      <c r="G1816">
        <v>2113</v>
      </c>
      <c r="H1816" s="9">
        <v>40002</v>
      </c>
    </row>
    <row r="1817" spans="6:8">
      <c r="F1817">
        <v>23637</v>
      </c>
      <c r="G1817">
        <v>1750</v>
      </c>
      <c r="H1817" s="9">
        <v>40002</v>
      </c>
    </row>
    <row r="1818" spans="6:8">
      <c r="F1818">
        <v>23645</v>
      </c>
      <c r="G1818">
        <v>1865</v>
      </c>
      <c r="H1818" s="9">
        <v>40002</v>
      </c>
    </row>
    <row r="1819" spans="6:8">
      <c r="F1819">
        <v>23649</v>
      </c>
      <c r="G1819">
        <v>5897</v>
      </c>
      <c r="H1819" s="9">
        <v>40002</v>
      </c>
    </row>
    <row r="1820" spans="6:8">
      <c r="F1820">
        <v>23690</v>
      </c>
      <c r="G1820">
        <v>384</v>
      </c>
      <c r="H1820" s="9">
        <v>40006</v>
      </c>
    </row>
    <row r="1821" spans="6:8">
      <c r="F1821">
        <v>23733</v>
      </c>
      <c r="G1821">
        <v>902</v>
      </c>
      <c r="H1821" s="9">
        <v>40006</v>
      </c>
    </row>
    <row r="1822" spans="6:8">
      <c r="F1822">
        <v>23797</v>
      </c>
      <c r="G1822">
        <v>6700</v>
      </c>
      <c r="H1822" s="9">
        <v>40006</v>
      </c>
    </row>
    <row r="1823" spans="6:8">
      <c r="F1823">
        <v>23824</v>
      </c>
      <c r="G1823">
        <v>1801</v>
      </c>
      <c r="H1823" s="9">
        <v>40014</v>
      </c>
    </row>
    <row r="1824" spans="6:8">
      <c r="F1824">
        <v>23826</v>
      </c>
      <c r="G1824">
        <v>2211</v>
      </c>
      <c r="H1824" s="9">
        <v>40014</v>
      </c>
    </row>
    <row r="1825" spans="6:8">
      <c r="F1825">
        <v>23834</v>
      </c>
      <c r="G1825">
        <v>2255</v>
      </c>
      <c r="H1825" s="9">
        <v>40014</v>
      </c>
    </row>
    <row r="1826" spans="6:8">
      <c r="F1826">
        <v>23856</v>
      </c>
      <c r="G1826">
        <v>1053</v>
      </c>
      <c r="H1826" s="9">
        <v>40016</v>
      </c>
    </row>
    <row r="1827" spans="6:8">
      <c r="F1827">
        <v>23888</v>
      </c>
      <c r="G1827">
        <v>6676</v>
      </c>
      <c r="H1827" s="9">
        <v>40016</v>
      </c>
    </row>
    <row r="1828" spans="6:8">
      <c r="F1828">
        <v>23903</v>
      </c>
      <c r="G1828">
        <v>5264</v>
      </c>
      <c r="H1828" s="9">
        <v>40015</v>
      </c>
    </row>
    <row r="1829" spans="6:8">
      <c r="F1829">
        <v>23906</v>
      </c>
      <c r="G1829">
        <v>4420</v>
      </c>
      <c r="H1829" s="9">
        <v>40015</v>
      </c>
    </row>
    <row r="1830" spans="6:8">
      <c r="F1830">
        <v>23908</v>
      </c>
      <c r="G1830">
        <v>5282</v>
      </c>
      <c r="H1830" s="9">
        <v>40014</v>
      </c>
    </row>
    <row r="1831" spans="6:8">
      <c r="F1831">
        <v>23910</v>
      </c>
      <c r="G1831">
        <v>5858</v>
      </c>
      <c r="H1831" s="9">
        <v>40014</v>
      </c>
    </row>
    <row r="1832" spans="6:8">
      <c r="F1832">
        <v>23913</v>
      </c>
      <c r="G1832">
        <v>5271</v>
      </c>
      <c r="H1832" s="9">
        <v>40014</v>
      </c>
    </row>
    <row r="1833" spans="6:8">
      <c r="F1833">
        <v>23915</v>
      </c>
      <c r="G1833">
        <v>5554</v>
      </c>
      <c r="H1833" s="9">
        <v>40014</v>
      </c>
    </row>
    <row r="1834" spans="6:8">
      <c r="F1834">
        <v>23925</v>
      </c>
      <c r="G1834">
        <v>5114</v>
      </c>
      <c r="H1834" s="9">
        <v>40012</v>
      </c>
    </row>
    <row r="1835" spans="6:8">
      <c r="F1835">
        <v>23937</v>
      </c>
      <c r="G1835">
        <v>6703</v>
      </c>
      <c r="H1835" s="9">
        <v>40014</v>
      </c>
    </row>
    <row r="1836" spans="6:8">
      <c r="F1836">
        <v>23939</v>
      </c>
      <c r="G1836">
        <v>6705</v>
      </c>
      <c r="H1836" s="9">
        <v>40016</v>
      </c>
    </row>
    <row r="1837" spans="6:8">
      <c r="F1837">
        <v>23979</v>
      </c>
      <c r="G1837">
        <v>6062</v>
      </c>
      <c r="H1837" s="9">
        <v>40016</v>
      </c>
    </row>
    <row r="1838" spans="6:8">
      <c r="F1838">
        <v>24001</v>
      </c>
      <c r="G1838">
        <v>2762</v>
      </c>
      <c r="H1838" s="9">
        <v>40016</v>
      </c>
    </row>
    <row r="1839" spans="6:8">
      <c r="F1839">
        <v>24006</v>
      </c>
      <c r="G1839">
        <v>6448</v>
      </c>
      <c r="H1839" s="9">
        <v>40013</v>
      </c>
    </row>
    <row r="1840" spans="6:8">
      <c r="F1840">
        <v>24046</v>
      </c>
      <c r="G1840">
        <v>669</v>
      </c>
      <c r="H1840" s="9">
        <v>40014</v>
      </c>
    </row>
    <row r="1841" spans="6:8">
      <c r="F1841">
        <v>24047</v>
      </c>
      <c r="G1841">
        <v>548</v>
      </c>
      <c r="H1841" s="9">
        <v>40014</v>
      </c>
    </row>
    <row r="1842" spans="6:8">
      <c r="F1842">
        <v>24065</v>
      </c>
      <c r="G1842">
        <v>2915</v>
      </c>
      <c r="H1842" s="9">
        <v>40019</v>
      </c>
    </row>
    <row r="1843" spans="6:8">
      <c r="F1843">
        <v>24109</v>
      </c>
      <c r="G1843">
        <v>4246</v>
      </c>
      <c r="H1843" s="9">
        <v>40020</v>
      </c>
    </row>
    <row r="1844" spans="6:8">
      <c r="F1844">
        <v>24117</v>
      </c>
      <c r="G1844">
        <v>4962</v>
      </c>
      <c r="H1844" s="9">
        <v>40019</v>
      </c>
    </row>
    <row r="1845" spans="6:8">
      <c r="F1845">
        <v>24118</v>
      </c>
      <c r="G1845">
        <v>6305</v>
      </c>
      <c r="H1845" s="9">
        <v>40019</v>
      </c>
    </row>
    <row r="1846" spans="6:8">
      <c r="F1846">
        <v>24120</v>
      </c>
      <c r="G1846">
        <v>5537</v>
      </c>
      <c r="H1846" s="9">
        <v>40019</v>
      </c>
    </row>
    <row r="1847" spans="6:8">
      <c r="F1847">
        <v>24124</v>
      </c>
      <c r="G1847">
        <v>5742</v>
      </c>
      <c r="H1847" s="9">
        <v>40019</v>
      </c>
    </row>
    <row r="1848" spans="6:8">
      <c r="F1848">
        <v>24127</v>
      </c>
      <c r="G1848">
        <v>6707</v>
      </c>
      <c r="H1848" s="9">
        <v>40019</v>
      </c>
    </row>
    <row r="1849" spans="6:8">
      <c r="F1849">
        <v>24145</v>
      </c>
      <c r="G1849">
        <v>1296</v>
      </c>
      <c r="H1849" s="9">
        <v>40019</v>
      </c>
    </row>
    <row r="1850" spans="6:8">
      <c r="F1850">
        <v>24149</v>
      </c>
      <c r="G1850">
        <v>6709</v>
      </c>
      <c r="H1850" s="9">
        <v>40019</v>
      </c>
    </row>
    <row r="1851" spans="6:8">
      <c r="F1851">
        <v>24152</v>
      </c>
      <c r="G1851">
        <v>2241</v>
      </c>
      <c r="H1851" s="9">
        <v>40019</v>
      </c>
    </row>
    <row r="1852" spans="6:8">
      <c r="F1852">
        <v>24160</v>
      </c>
      <c r="G1852">
        <v>1322</v>
      </c>
      <c r="H1852" s="9">
        <v>40019</v>
      </c>
    </row>
    <row r="1853" spans="6:8">
      <c r="F1853">
        <v>24168</v>
      </c>
      <c r="G1853">
        <v>42</v>
      </c>
      <c r="H1853" s="9">
        <v>40019</v>
      </c>
    </row>
    <row r="1854" spans="6:8">
      <c r="F1854">
        <v>24227</v>
      </c>
      <c r="G1854">
        <v>2438</v>
      </c>
      <c r="H1854" s="9">
        <v>40021</v>
      </c>
    </row>
    <row r="1855" spans="6:8">
      <c r="F1855">
        <v>24285</v>
      </c>
      <c r="G1855">
        <v>984</v>
      </c>
      <c r="H1855" s="9">
        <v>40023</v>
      </c>
    </row>
    <row r="1856" spans="6:8">
      <c r="F1856">
        <v>24367</v>
      </c>
      <c r="G1856">
        <v>2179</v>
      </c>
      <c r="H1856" s="9">
        <v>40028</v>
      </c>
    </row>
    <row r="1857" spans="6:8">
      <c r="F1857">
        <v>24384</v>
      </c>
      <c r="G1857">
        <v>6488</v>
      </c>
      <c r="H1857" s="9">
        <v>40028</v>
      </c>
    </row>
    <row r="1858" spans="6:8">
      <c r="F1858">
        <v>24393</v>
      </c>
      <c r="G1858">
        <v>3502</v>
      </c>
      <c r="H1858" s="9">
        <v>40028</v>
      </c>
    </row>
    <row r="1859" spans="6:8">
      <c r="F1859">
        <v>24395</v>
      </c>
      <c r="G1859">
        <v>3548</v>
      </c>
      <c r="H1859" s="9">
        <v>40028</v>
      </c>
    </row>
    <row r="1860" spans="6:8">
      <c r="F1860">
        <v>24396</v>
      </c>
      <c r="G1860">
        <v>6727</v>
      </c>
      <c r="H1860" s="9">
        <v>39981</v>
      </c>
    </row>
    <row r="1861" spans="6:8">
      <c r="F1861">
        <v>24409</v>
      </c>
      <c r="G1861">
        <v>3153</v>
      </c>
      <c r="H1861" s="9">
        <v>40029</v>
      </c>
    </row>
    <row r="1862" spans="6:8">
      <c r="F1862">
        <v>24440</v>
      </c>
      <c r="G1862">
        <v>2953</v>
      </c>
      <c r="H1862" s="9">
        <v>40029</v>
      </c>
    </row>
    <row r="1863" spans="6:8">
      <c r="F1863">
        <v>24441</v>
      </c>
      <c r="G1863">
        <v>2360</v>
      </c>
      <c r="H1863" s="9">
        <v>40029</v>
      </c>
    </row>
    <row r="1864" spans="6:8">
      <c r="F1864">
        <v>24463</v>
      </c>
      <c r="G1864">
        <v>2579</v>
      </c>
      <c r="H1864" s="9">
        <v>40029</v>
      </c>
    </row>
    <row r="1865" spans="6:8">
      <c r="F1865">
        <v>24466</v>
      </c>
      <c r="G1865">
        <v>3907</v>
      </c>
      <c r="H1865" s="9">
        <v>40029</v>
      </c>
    </row>
    <row r="1866" spans="6:8">
      <c r="F1866">
        <v>24502</v>
      </c>
      <c r="G1866">
        <v>2685</v>
      </c>
      <c r="H1866" s="9">
        <v>40031</v>
      </c>
    </row>
    <row r="1867" spans="6:8">
      <c r="F1867">
        <v>24523</v>
      </c>
      <c r="G1867">
        <v>3898</v>
      </c>
      <c r="H1867" s="9">
        <v>40031</v>
      </c>
    </row>
    <row r="1868" spans="6:8">
      <c r="F1868">
        <v>24525</v>
      </c>
      <c r="G1868">
        <v>6364</v>
      </c>
      <c r="H1868" s="9">
        <v>40031</v>
      </c>
    </row>
    <row r="1869" spans="6:8">
      <c r="F1869">
        <v>24533</v>
      </c>
      <c r="G1869">
        <v>4290</v>
      </c>
      <c r="H1869" s="9">
        <v>40031</v>
      </c>
    </row>
    <row r="1870" spans="6:8">
      <c r="F1870">
        <v>24534</v>
      </c>
      <c r="G1870">
        <v>1622</v>
      </c>
      <c r="H1870" s="9">
        <v>40031</v>
      </c>
    </row>
    <row r="1871" spans="6:8">
      <c r="F1871">
        <v>24537</v>
      </c>
      <c r="G1871">
        <v>3768</v>
      </c>
      <c r="H1871" s="9">
        <v>40031</v>
      </c>
    </row>
    <row r="1872" spans="6:8">
      <c r="F1872">
        <v>24542</v>
      </c>
      <c r="G1872">
        <v>1564</v>
      </c>
      <c r="H1872" s="9">
        <v>40032</v>
      </c>
    </row>
    <row r="1873" spans="6:8">
      <c r="F1873">
        <v>24545</v>
      </c>
      <c r="G1873">
        <v>1665</v>
      </c>
      <c r="H1873" s="9">
        <v>40032</v>
      </c>
    </row>
    <row r="1874" spans="6:8">
      <c r="F1874">
        <v>24583</v>
      </c>
      <c r="G1874">
        <v>5181</v>
      </c>
      <c r="H1874" s="9">
        <v>40031</v>
      </c>
    </row>
    <row r="1875" spans="6:8">
      <c r="F1875">
        <v>24587</v>
      </c>
      <c r="G1875">
        <v>6753</v>
      </c>
      <c r="H1875" s="9">
        <v>40031</v>
      </c>
    </row>
    <row r="1876" spans="6:8">
      <c r="F1876">
        <v>24611</v>
      </c>
      <c r="G1876">
        <v>2465</v>
      </c>
      <c r="H1876" s="9">
        <v>40031</v>
      </c>
    </row>
    <row r="1877" spans="6:8">
      <c r="F1877">
        <v>24619</v>
      </c>
      <c r="G1877">
        <v>6756</v>
      </c>
      <c r="H1877" s="9">
        <v>40035</v>
      </c>
    </row>
    <row r="1878" spans="6:8">
      <c r="F1878">
        <v>24620</v>
      </c>
      <c r="G1878">
        <v>6757</v>
      </c>
      <c r="H1878" s="9">
        <v>40035</v>
      </c>
    </row>
    <row r="1879" spans="6:8">
      <c r="F1879">
        <v>24648</v>
      </c>
      <c r="G1879">
        <v>1767</v>
      </c>
      <c r="H1879" s="9">
        <v>40032</v>
      </c>
    </row>
    <row r="1880" spans="6:8">
      <c r="F1880">
        <v>24656</v>
      </c>
      <c r="G1880">
        <v>2604</v>
      </c>
      <c r="H1880" s="9">
        <v>40032</v>
      </c>
    </row>
    <row r="1881" spans="6:8">
      <c r="F1881">
        <v>24676</v>
      </c>
      <c r="G1881">
        <v>2374</v>
      </c>
      <c r="H1881" s="9">
        <v>40035</v>
      </c>
    </row>
    <row r="1882" spans="6:8">
      <c r="F1882">
        <v>24713</v>
      </c>
      <c r="G1882">
        <v>5085</v>
      </c>
      <c r="H1882" s="9">
        <v>40035</v>
      </c>
    </row>
    <row r="1883" spans="6:8">
      <c r="F1883">
        <v>24722</v>
      </c>
      <c r="G1883">
        <v>1161</v>
      </c>
      <c r="H1883" s="9">
        <v>40035</v>
      </c>
    </row>
    <row r="1884" spans="6:8">
      <c r="F1884">
        <v>24737</v>
      </c>
      <c r="G1884">
        <v>6761</v>
      </c>
      <c r="H1884" s="9">
        <v>40037</v>
      </c>
    </row>
    <row r="1885" spans="6:8">
      <c r="F1885">
        <v>24750</v>
      </c>
      <c r="G1885">
        <v>6763</v>
      </c>
      <c r="H1885" s="9">
        <v>40037</v>
      </c>
    </row>
    <row r="1886" spans="6:8">
      <c r="F1886">
        <v>24782</v>
      </c>
      <c r="G1886">
        <v>571</v>
      </c>
      <c r="H1886" s="9">
        <v>40037</v>
      </c>
    </row>
    <row r="1887" spans="6:8">
      <c r="F1887">
        <v>24793</v>
      </c>
      <c r="G1887">
        <v>4874</v>
      </c>
      <c r="H1887" s="9">
        <v>40038</v>
      </c>
    </row>
    <row r="1888" spans="6:8">
      <c r="F1888">
        <v>24801</v>
      </c>
      <c r="G1888">
        <v>935</v>
      </c>
      <c r="H1888" s="9">
        <v>40038</v>
      </c>
    </row>
    <row r="1889" spans="6:8">
      <c r="F1889">
        <v>24831</v>
      </c>
      <c r="G1889">
        <v>1905</v>
      </c>
      <c r="H1889" s="9">
        <v>40039</v>
      </c>
    </row>
    <row r="1890" spans="6:8">
      <c r="F1890">
        <v>24847</v>
      </c>
      <c r="G1890">
        <v>926</v>
      </c>
      <c r="H1890" s="9">
        <v>40038</v>
      </c>
    </row>
    <row r="1891" spans="6:8">
      <c r="F1891">
        <v>24915</v>
      </c>
      <c r="G1891">
        <v>575</v>
      </c>
      <c r="H1891" s="9">
        <v>40039</v>
      </c>
    </row>
    <row r="1892" spans="6:8">
      <c r="F1892">
        <v>24962</v>
      </c>
      <c r="G1892">
        <v>4466</v>
      </c>
      <c r="H1892" s="9">
        <v>40042</v>
      </c>
    </row>
    <row r="1893" spans="6:8">
      <c r="F1893">
        <v>24980</v>
      </c>
      <c r="G1893">
        <v>6293</v>
      </c>
      <c r="H1893" s="9">
        <v>40044</v>
      </c>
    </row>
    <row r="1894" spans="6:8">
      <c r="F1894">
        <v>24981</v>
      </c>
      <c r="G1894">
        <v>5161</v>
      </c>
      <c r="H1894" s="9">
        <v>40044</v>
      </c>
    </row>
    <row r="1895" spans="6:8">
      <c r="F1895">
        <v>24995</v>
      </c>
      <c r="G1895">
        <v>6767</v>
      </c>
      <c r="H1895" s="9">
        <v>40043</v>
      </c>
    </row>
    <row r="1896" spans="6:8">
      <c r="F1896">
        <v>24999</v>
      </c>
      <c r="G1896">
        <v>278</v>
      </c>
      <c r="H1896" s="9">
        <v>40044</v>
      </c>
    </row>
    <row r="1897" spans="6:8">
      <c r="F1897">
        <v>25105</v>
      </c>
      <c r="G1897">
        <v>5318</v>
      </c>
      <c r="H1897" s="9">
        <v>40045</v>
      </c>
    </row>
    <row r="1898" spans="6:8">
      <c r="F1898">
        <v>25114</v>
      </c>
      <c r="G1898">
        <v>6768</v>
      </c>
      <c r="H1898" s="9">
        <v>40045</v>
      </c>
    </row>
    <row r="1899" spans="6:8">
      <c r="F1899">
        <v>25116</v>
      </c>
      <c r="G1899">
        <v>3164</v>
      </c>
      <c r="H1899" s="9">
        <v>40045</v>
      </c>
    </row>
    <row r="1900" spans="6:8">
      <c r="F1900">
        <v>25121</v>
      </c>
      <c r="G1900">
        <v>4904</v>
      </c>
      <c r="H1900" s="9">
        <v>40051</v>
      </c>
    </row>
    <row r="1901" spans="6:8">
      <c r="F1901">
        <v>25123</v>
      </c>
      <c r="G1901">
        <v>6772</v>
      </c>
      <c r="H1901" s="9">
        <v>40045</v>
      </c>
    </row>
    <row r="1902" spans="6:8">
      <c r="F1902">
        <v>25146</v>
      </c>
      <c r="G1902">
        <v>2267</v>
      </c>
      <c r="H1902" s="9">
        <v>40045</v>
      </c>
    </row>
    <row r="1903" spans="6:8">
      <c r="F1903">
        <v>25152</v>
      </c>
      <c r="G1903">
        <v>2488</v>
      </c>
      <c r="H1903" s="9">
        <v>40045</v>
      </c>
    </row>
    <row r="1904" spans="6:8">
      <c r="F1904">
        <v>25159</v>
      </c>
      <c r="G1904">
        <v>6775</v>
      </c>
      <c r="H1904" s="9">
        <v>40050</v>
      </c>
    </row>
    <row r="1905" spans="6:8">
      <c r="F1905">
        <v>25227</v>
      </c>
      <c r="G1905">
        <v>5838</v>
      </c>
      <c r="H1905" s="9">
        <v>40050</v>
      </c>
    </row>
    <row r="1906" spans="6:8">
      <c r="F1906">
        <v>25233</v>
      </c>
      <c r="G1906">
        <v>694</v>
      </c>
      <c r="H1906" s="9">
        <v>40050</v>
      </c>
    </row>
    <row r="1907" spans="6:8">
      <c r="F1907">
        <v>25238</v>
      </c>
      <c r="G1907">
        <v>810</v>
      </c>
      <c r="H1907" s="9">
        <v>40050</v>
      </c>
    </row>
    <row r="1908" spans="6:8">
      <c r="F1908">
        <v>25262</v>
      </c>
      <c r="G1908">
        <v>2044</v>
      </c>
      <c r="H1908" s="9">
        <v>40007</v>
      </c>
    </row>
    <row r="1909" spans="6:8">
      <c r="F1909">
        <v>25274</v>
      </c>
      <c r="G1909">
        <v>1576</v>
      </c>
      <c r="H1909" s="9">
        <v>40006</v>
      </c>
    </row>
    <row r="1910" spans="6:8">
      <c r="F1910">
        <v>25280</v>
      </c>
      <c r="G1910">
        <v>2446</v>
      </c>
      <c r="H1910" s="9">
        <v>40007</v>
      </c>
    </row>
    <row r="1911" spans="6:8">
      <c r="F1911">
        <v>25291</v>
      </c>
      <c r="G1911">
        <v>2194</v>
      </c>
      <c r="H1911" s="9">
        <v>40007</v>
      </c>
    </row>
    <row r="1912" spans="6:8">
      <c r="F1912">
        <v>25307</v>
      </c>
      <c r="G1912">
        <v>1784</v>
      </c>
      <c r="H1912" s="9">
        <v>40007</v>
      </c>
    </row>
    <row r="1913" spans="6:8">
      <c r="F1913">
        <v>25329</v>
      </c>
      <c r="G1913">
        <v>4862</v>
      </c>
      <c r="H1913" s="9">
        <v>40007</v>
      </c>
    </row>
    <row r="1914" spans="6:8">
      <c r="F1914">
        <v>25423</v>
      </c>
      <c r="G1914">
        <v>1952</v>
      </c>
      <c r="H1914" s="9">
        <v>40009</v>
      </c>
    </row>
    <row r="1915" spans="6:8">
      <c r="F1915">
        <v>25441</v>
      </c>
      <c r="G1915">
        <v>6780</v>
      </c>
      <c r="H1915" s="9">
        <v>40005</v>
      </c>
    </row>
    <row r="1916" spans="6:8">
      <c r="F1916">
        <v>25445</v>
      </c>
      <c r="G1916">
        <v>6781</v>
      </c>
      <c r="H1916" s="9">
        <v>40005</v>
      </c>
    </row>
    <row r="1917" spans="6:8">
      <c r="F1917">
        <v>25460</v>
      </c>
      <c r="G1917">
        <v>3723</v>
      </c>
      <c r="H1917" s="9">
        <v>40009</v>
      </c>
    </row>
    <row r="1918" spans="6:8">
      <c r="F1918">
        <v>25462</v>
      </c>
      <c r="G1918">
        <v>4341</v>
      </c>
      <c r="H1918" s="9">
        <v>40009</v>
      </c>
    </row>
    <row r="1919" spans="6:8">
      <c r="F1919">
        <v>25470</v>
      </c>
      <c r="G1919">
        <v>2536</v>
      </c>
      <c r="H1919" s="9">
        <v>40009</v>
      </c>
    </row>
    <row r="1920" spans="6:8">
      <c r="F1920">
        <v>25480</v>
      </c>
      <c r="G1920">
        <v>5876</v>
      </c>
      <c r="H1920" s="9">
        <v>40009</v>
      </c>
    </row>
    <row r="1921" spans="6:8">
      <c r="F1921">
        <v>25488</v>
      </c>
      <c r="G1921">
        <v>6788</v>
      </c>
      <c r="H1921" s="9">
        <v>40053</v>
      </c>
    </row>
    <row r="1922" spans="6:8">
      <c r="F1922">
        <v>25535</v>
      </c>
      <c r="G1922">
        <v>2572</v>
      </c>
      <c r="H1922" s="9">
        <v>40008</v>
      </c>
    </row>
    <row r="1923" spans="6:8">
      <c r="F1923">
        <v>25536</v>
      </c>
      <c r="G1923">
        <v>2115</v>
      </c>
      <c r="H1923" s="9">
        <v>40008</v>
      </c>
    </row>
    <row r="1924" spans="6:8">
      <c r="F1924">
        <v>25544</v>
      </c>
      <c r="G1924">
        <v>270</v>
      </c>
      <c r="H1924" s="9">
        <v>40008</v>
      </c>
    </row>
    <row r="1925" spans="6:8">
      <c r="F1925">
        <v>25564</v>
      </c>
      <c r="G1925">
        <v>5940</v>
      </c>
      <c r="H1925" s="9">
        <v>40054</v>
      </c>
    </row>
    <row r="1926" spans="6:8">
      <c r="F1926">
        <v>25591</v>
      </c>
      <c r="G1926">
        <v>6809</v>
      </c>
      <c r="H1926" s="9">
        <v>40009</v>
      </c>
    </row>
    <row r="1927" spans="6:8">
      <c r="F1927">
        <v>25592</v>
      </c>
      <c r="G1927">
        <v>2745</v>
      </c>
      <c r="H1927" s="9">
        <v>40009</v>
      </c>
    </row>
    <row r="1928" spans="6:8">
      <c r="F1928">
        <v>25613</v>
      </c>
      <c r="G1928">
        <v>6810</v>
      </c>
      <c r="H1928" s="9">
        <v>40009</v>
      </c>
    </row>
    <row r="1929" spans="6:8">
      <c r="F1929">
        <v>25614</v>
      </c>
      <c r="G1929">
        <v>2793</v>
      </c>
      <c r="H1929" s="9">
        <v>40009</v>
      </c>
    </row>
    <row r="1930" spans="6:8">
      <c r="F1930">
        <v>25620</v>
      </c>
      <c r="G1930">
        <v>5691</v>
      </c>
      <c r="H1930" s="9">
        <v>40009</v>
      </c>
    </row>
    <row r="1931" spans="6:8">
      <c r="F1931">
        <v>25693</v>
      </c>
      <c r="G1931">
        <v>2101</v>
      </c>
      <c r="H1931" s="9">
        <v>40056</v>
      </c>
    </row>
    <row r="1932" spans="6:8">
      <c r="F1932">
        <v>25694</v>
      </c>
      <c r="G1932">
        <v>1105</v>
      </c>
      <c r="H1932" s="9">
        <v>40056</v>
      </c>
    </row>
    <row r="1933" spans="6:8">
      <c r="F1933">
        <v>25701</v>
      </c>
      <c r="G1933">
        <v>2641</v>
      </c>
      <c r="H1933" s="9">
        <v>40056</v>
      </c>
    </row>
    <row r="1934" spans="6:8">
      <c r="F1934">
        <v>25703</v>
      </c>
      <c r="G1934">
        <v>5443</v>
      </c>
      <c r="H1934" s="9">
        <v>40056</v>
      </c>
    </row>
    <row r="1935" spans="6:8">
      <c r="F1935">
        <v>25706</v>
      </c>
      <c r="G1935">
        <v>1284</v>
      </c>
      <c r="H1935" s="9">
        <v>40056</v>
      </c>
    </row>
    <row r="1936" spans="6:8">
      <c r="F1936">
        <v>25718</v>
      </c>
      <c r="G1936">
        <v>6702</v>
      </c>
      <c r="H1936" s="9">
        <v>40052</v>
      </c>
    </row>
    <row r="1937" spans="6:8">
      <c r="F1937">
        <v>25735</v>
      </c>
      <c r="G1937">
        <v>2671</v>
      </c>
      <c r="H1937" s="9">
        <v>40057</v>
      </c>
    </row>
    <row r="1938" spans="6:8">
      <c r="F1938">
        <v>25784</v>
      </c>
      <c r="G1938">
        <v>724</v>
      </c>
      <c r="H1938" s="9">
        <v>40057</v>
      </c>
    </row>
    <row r="1939" spans="6:8">
      <c r="F1939">
        <v>25803</v>
      </c>
      <c r="G1939">
        <v>2031</v>
      </c>
      <c r="H1939" s="9">
        <v>40057</v>
      </c>
    </row>
    <row r="1940" spans="6:8">
      <c r="F1940">
        <v>25808</v>
      </c>
      <c r="G1940">
        <v>4776</v>
      </c>
      <c r="H1940" s="9">
        <v>40058</v>
      </c>
    </row>
    <row r="1941" spans="6:8">
      <c r="F1941">
        <v>25809</v>
      </c>
      <c r="G1941">
        <v>3148</v>
      </c>
      <c r="H1941" s="9">
        <v>40057</v>
      </c>
    </row>
    <row r="1942" spans="6:8">
      <c r="F1942">
        <v>25810</v>
      </c>
      <c r="G1942">
        <v>4483</v>
      </c>
      <c r="H1942" s="9">
        <v>40057</v>
      </c>
    </row>
    <row r="1943" spans="6:8">
      <c r="F1943">
        <v>25817</v>
      </c>
      <c r="G1943">
        <v>2105</v>
      </c>
      <c r="H1943" s="9">
        <v>40057</v>
      </c>
    </row>
    <row r="1944" spans="6:8">
      <c r="F1944">
        <v>25883</v>
      </c>
      <c r="G1944">
        <v>6014</v>
      </c>
      <c r="H1944" s="9">
        <v>40059</v>
      </c>
    </row>
    <row r="1945" spans="6:8">
      <c r="F1945">
        <v>25894</v>
      </c>
      <c r="G1945">
        <v>6813</v>
      </c>
      <c r="H1945" s="9">
        <v>40060</v>
      </c>
    </row>
    <row r="1946" spans="6:8">
      <c r="F1946">
        <v>25931</v>
      </c>
      <c r="G1946">
        <v>2912</v>
      </c>
      <c r="H1946" s="9">
        <v>40060</v>
      </c>
    </row>
    <row r="1947" spans="6:8">
      <c r="F1947">
        <v>25945</v>
      </c>
      <c r="G1947">
        <v>6815</v>
      </c>
      <c r="H1947" s="9">
        <v>40060</v>
      </c>
    </row>
    <row r="1948" spans="6:8">
      <c r="F1948">
        <v>26002</v>
      </c>
      <c r="G1948">
        <v>2503</v>
      </c>
      <c r="H1948" s="9">
        <v>40064</v>
      </c>
    </row>
    <row r="1949" spans="6:8">
      <c r="F1949">
        <v>26021</v>
      </c>
      <c r="G1949">
        <v>1361</v>
      </c>
      <c r="H1949" s="9">
        <v>40064</v>
      </c>
    </row>
    <row r="1950" spans="6:8">
      <c r="F1950">
        <v>26042</v>
      </c>
      <c r="G1950">
        <v>4339</v>
      </c>
      <c r="H1950" s="9">
        <v>40064</v>
      </c>
    </row>
    <row r="1951" spans="6:8">
      <c r="F1951">
        <v>26074</v>
      </c>
      <c r="G1951">
        <v>2146</v>
      </c>
      <c r="H1951" s="9">
        <v>40065</v>
      </c>
    </row>
    <row r="1952" spans="6:8">
      <c r="F1952">
        <v>26086</v>
      </c>
      <c r="G1952">
        <v>6611</v>
      </c>
      <c r="H1952" s="9">
        <v>40066</v>
      </c>
    </row>
    <row r="1953" spans="6:8">
      <c r="F1953">
        <v>26098</v>
      </c>
      <c r="G1953">
        <v>1672</v>
      </c>
      <c r="H1953" s="9">
        <v>40066</v>
      </c>
    </row>
    <row r="1954" spans="6:8">
      <c r="F1954">
        <v>26127</v>
      </c>
      <c r="G1954">
        <v>6822</v>
      </c>
      <c r="H1954" s="9">
        <v>40066</v>
      </c>
    </row>
    <row r="1955" spans="6:8">
      <c r="F1955">
        <v>26162</v>
      </c>
      <c r="G1955">
        <v>5144</v>
      </c>
      <c r="H1955" s="9">
        <v>40067</v>
      </c>
    </row>
    <row r="1956" spans="6:8">
      <c r="F1956">
        <v>26187</v>
      </c>
      <c r="G1956">
        <v>2371</v>
      </c>
      <c r="H1956" s="9">
        <v>40067</v>
      </c>
    </row>
    <row r="1957" spans="6:8">
      <c r="F1957">
        <v>26188</v>
      </c>
      <c r="G1957">
        <v>360</v>
      </c>
      <c r="H1957" s="9">
        <v>40067</v>
      </c>
    </row>
    <row r="1958" spans="6:8">
      <c r="F1958">
        <v>26215</v>
      </c>
      <c r="G1958">
        <v>6825</v>
      </c>
      <c r="H1958" s="9">
        <v>40068</v>
      </c>
    </row>
    <row r="1959" spans="6:8">
      <c r="F1959">
        <v>26232</v>
      </c>
      <c r="G1959">
        <v>5910</v>
      </c>
      <c r="H1959" s="9">
        <v>40068</v>
      </c>
    </row>
    <row r="1960" spans="6:8">
      <c r="F1960">
        <v>26255</v>
      </c>
      <c r="G1960">
        <v>530</v>
      </c>
      <c r="H1960" s="9">
        <v>40070</v>
      </c>
    </row>
    <row r="1961" spans="6:8">
      <c r="F1961">
        <v>26262</v>
      </c>
      <c r="G1961">
        <v>1605</v>
      </c>
      <c r="H1961" s="9">
        <v>40070</v>
      </c>
    </row>
    <row r="1962" spans="6:8">
      <c r="F1962">
        <v>26310</v>
      </c>
      <c r="G1962">
        <v>6831</v>
      </c>
      <c r="H1962" s="9">
        <v>40071</v>
      </c>
    </row>
    <row r="1963" spans="6:8">
      <c r="F1963">
        <v>26311</v>
      </c>
      <c r="G1963">
        <v>5357</v>
      </c>
      <c r="H1963" s="9">
        <v>40071</v>
      </c>
    </row>
    <row r="1964" spans="6:8">
      <c r="F1964">
        <v>26323</v>
      </c>
      <c r="G1964">
        <v>6833</v>
      </c>
      <c r="H1964" s="9">
        <v>40071</v>
      </c>
    </row>
    <row r="1965" spans="6:8">
      <c r="F1965">
        <v>26327</v>
      </c>
      <c r="G1965">
        <v>6485</v>
      </c>
      <c r="H1965" s="9">
        <v>40071</v>
      </c>
    </row>
    <row r="1966" spans="6:8">
      <c r="F1966">
        <v>26328</v>
      </c>
      <c r="G1966">
        <v>6834</v>
      </c>
      <c r="H1966" s="9">
        <v>40071</v>
      </c>
    </row>
    <row r="1967" spans="6:8">
      <c r="F1967">
        <v>26342</v>
      </c>
      <c r="G1967">
        <v>4702</v>
      </c>
      <c r="H1967" s="9">
        <v>40071</v>
      </c>
    </row>
    <row r="1968" spans="6:8">
      <c r="F1968">
        <v>26360</v>
      </c>
      <c r="G1968">
        <v>2948</v>
      </c>
      <c r="H1968" s="9">
        <v>40071</v>
      </c>
    </row>
    <row r="1969" spans="6:8">
      <c r="F1969">
        <v>26371</v>
      </c>
      <c r="G1969">
        <v>6836</v>
      </c>
      <c r="H1969" s="9">
        <v>40071</v>
      </c>
    </row>
    <row r="1970" spans="6:8">
      <c r="F1970">
        <v>26427</v>
      </c>
      <c r="G1970">
        <v>5911</v>
      </c>
      <c r="H1970" s="9">
        <v>40073</v>
      </c>
    </row>
    <row r="1971" spans="6:8">
      <c r="F1971">
        <v>26429</v>
      </c>
      <c r="G1971">
        <v>5575</v>
      </c>
      <c r="H1971" s="9">
        <v>40073</v>
      </c>
    </row>
    <row r="1972" spans="6:8">
      <c r="F1972">
        <v>26436</v>
      </c>
      <c r="G1972">
        <v>5445</v>
      </c>
      <c r="H1972" s="9">
        <v>40073</v>
      </c>
    </row>
    <row r="1973" spans="6:8">
      <c r="F1973">
        <v>26438</v>
      </c>
      <c r="G1973">
        <v>4694</v>
      </c>
      <c r="H1973" s="9">
        <v>40073</v>
      </c>
    </row>
    <row r="1974" spans="6:8">
      <c r="F1974">
        <v>26441</v>
      </c>
      <c r="G1974">
        <v>4110</v>
      </c>
      <c r="H1974" s="9">
        <v>40073</v>
      </c>
    </row>
    <row r="1975" spans="6:8">
      <c r="F1975">
        <v>26476</v>
      </c>
      <c r="G1975">
        <v>6838</v>
      </c>
      <c r="H1975" s="9">
        <v>40073</v>
      </c>
    </row>
    <row r="1976" spans="6:8">
      <c r="F1976">
        <v>26516</v>
      </c>
      <c r="G1976">
        <v>2139</v>
      </c>
      <c r="H1976" s="9">
        <v>40074</v>
      </c>
    </row>
    <row r="1977" spans="6:8">
      <c r="F1977">
        <v>26519</v>
      </c>
      <c r="G1977">
        <v>502</v>
      </c>
      <c r="H1977" s="9">
        <v>40074</v>
      </c>
    </row>
    <row r="1978" spans="6:8">
      <c r="F1978">
        <v>26525</v>
      </c>
      <c r="G1978">
        <v>5370</v>
      </c>
      <c r="H1978" s="9">
        <v>40074</v>
      </c>
    </row>
    <row r="1979" spans="6:8">
      <c r="F1979">
        <v>26566</v>
      </c>
      <c r="G1979">
        <v>3038</v>
      </c>
      <c r="H1979" s="9">
        <v>40077</v>
      </c>
    </row>
    <row r="1980" spans="6:8">
      <c r="F1980">
        <v>26574</v>
      </c>
      <c r="G1980">
        <v>2053</v>
      </c>
      <c r="H1980" s="9">
        <v>40078</v>
      </c>
    </row>
    <row r="1981" spans="6:8">
      <c r="F1981">
        <v>26610</v>
      </c>
      <c r="G1981">
        <v>5096</v>
      </c>
      <c r="H1981" s="9">
        <v>40078</v>
      </c>
    </row>
    <row r="1982" spans="6:8">
      <c r="F1982">
        <v>26613</v>
      </c>
      <c r="G1982">
        <v>4781</v>
      </c>
      <c r="H1982" s="9">
        <v>40078</v>
      </c>
    </row>
    <row r="1983" spans="6:8">
      <c r="F1983">
        <v>26614</v>
      </c>
      <c r="G1983">
        <v>6830</v>
      </c>
      <c r="H1983" s="9">
        <v>40078</v>
      </c>
    </row>
    <row r="1984" spans="6:8">
      <c r="F1984">
        <v>26656</v>
      </c>
      <c r="G1984">
        <v>1594</v>
      </c>
      <c r="H1984" s="9">
        <v>40078</v>
      </c>
    </row>
    <row r="1985" spans="6:8">
      <c r="F1985">
        <v>26662</v>
      </c>
      <c r="G1985">
        <v>5627</v>
      </c>
      <c r="H1985" s="9">
        <v>40078</v>
      </c>
    </row>
    <row r="1986" spans="6:8">
      <c r="F1986">
        <v>26666</v>
      </c>
      <c r="G1986">
        <v>461</v>
      </c>
      <c r="H1986" s="9">
        <v>40078</v>
      </c>
    </row>
    <row r="1987" spans="6:8">
      <c r="F1987">
        <v>26733</v>
      </c>
      <c r="G1987">
        <v>590</v>
      </c>
      <c r="H1987" s="9">
        <v>40079</v>
      </c>
    </row>
    <row r="1988" spans="6:8">
      <c r="F1988">
        <v>26734</v>
      </c>
      <c r="G1988">
        <v>4273</v>
      </c>
      <c r="H1988" s="9">
        <v>40079</v>
      </c>
    </row>
    <row r="1989" spans="6:8">
      <c r="F1989">
        <v>26785</v>
      </c>
      <c r="G1989">
        <v>1309</v>
      </c>
      <c r="H1989" s="9">
        <v>40080</v>
      </c>
    </row>
    <row r="1990" spans="6:8">
      <c r="F1990">
        <v>26786</v>
      </c>
      <c r="G1990">
        <v>1329</v>
      </c>
      <c r="H1990" s="9">
        <v>40080</v>
      </c>
    </row>
    <row r="1991" spans="6:8">
      <c r="F1991">
        <v>26823</v>
      </c>
      <c r="G1991">
        <v>969</v>
      </c>
      <c r="H1991" s="9">
        <v>40085</v>
      </c>
    </row>
    <row r="1992" spans="6:8">
      <c r="F1992">
        <v>26839</v>
      </c>
      <c r="G1992">
        <v>1855</v>
      </c>
      <c r="H1992" s="9">
        <v>40085</v>
      </c>
    </row>
    <row r="1993" spans="6:8">
      <c r="F1993">
        <v>26848</v>
      </c>
      <c r="G1993">
        <v>4337</v>
      </c>
      <c r="H1993" s="9">
        <v>40085</v>
      </c>
    </row>
    <row r="1994" spans="6:8">
      <c r="F1994">
        <v>26852</v>
      </c>
      <c r="G1994">
        <v>6854</v>
      </c>
      <c r="H1994" s="9">
        <v>40085</v>
      </c>
    </row>
    <row r="1995" spans="6:8">
      <c r="F1995">
        <v>26853</v>
      </c>
      <c r="G1995">
        <v>4507</v>
      </c>
      <c r="H1995" s="9">
        <v>40085</v>
      </c>
    </row>
    <row r="1996" spans="6:8">
      <c r="F1996">
        <v>26856</v>
      </c>
      <c r="G1996">
        <v>2292</v>
      </c>
      <c r="H1996" s="9">
        <v>40085</v>
      </c>
    </row>
    <row r="1997" spans="6:8">
      <c r="F1997">
        <v>26903</v>
      </c>
      <c r="G1997">
        <v>6856</v>
      </c>
      <c r="H1997" s="9">
        <v>40086</v>
      </c>
    </row>
    <row r="1998" spans="6:8">
      <c r="F1998">
        <v>26904</v>
      </c>
      <c r="G1998">
        <v>4829</v>
      </c>
      <c r="H1998" s="9">
        <v>40086</v>
      </c>
    </row>
    <row r="1999" spans="6:8">
      <c r="F1999">
        <v>26908</v>
      </c>
      <c r="G1999">
        <v>4828</v>
      </c>
      <c r="H1999" s="9">
        <v>40086</v>
      </c>
    </row>
    <row r="2000" spans="6:8">
      <c r="F2000">
        <v>26909</v>
      </c>
      <c r="G2000">
        <v>3197</v>
      </c>
      <c r="H2000" s="9">
        <v>40086</v>
      </c>
    </row>
    <row r="2001" spans="6:8">
      <c r="F2001">
        <v>26913</v>
      </c>
      <c r="G2001">
        <v>4447</v>
      </c>
      <c r="H2001" s="9">
        <v>40086</v>
      </c>
    </row>
    <row r="2002" spans="6:8">
      <c r="F2002">
        <v>26941</v>
      </c>
      <c r="G2002">
        <v>2767</v>
      </c>
      <c r="H2002" s="9">
        <v>40091</v>
      </c>
    </row>
    <row r="2003" spans="6:8">
      <c r="F2003">
        <v>26967</v>
      </c>
      <c r="G2003">
        <v>6857</v>
      </c>
      <c r="H2003" s="9">
        <v>40091</v>
      </c>
    </row>
    <row r="2004" spans="6:8">
      <c r="F2004">
        <v>26977</v>
      </c>
      <c r="G2004">
        <v>6421</v>
      </c>
      <c r="H2004" s="9">
        <v>40091</v>
      </c>
    </row>
    <row r="2005" spans="6:8">
      <c r="F2005">
        <v>26994</v>
      </c>
      <c r="G2005">
        <v>3521</v>
      </c>
      <c r="H2005" s="9">
        <v>40091</v>
      </c>
    </row>
    <row r="2006" spans="6:8">
      <c r="F2006">
        <v>26995</v>
      </c>
      <c r="G2006">
        <v>3133</v>
      </c>
      <c r="H2006" s="9">
        <v>40091</v>
      </c>
    </row>
    <row r="2007" spans="6:8">
      <c r="F2007">
        <v>27007</v>
      </c>
      <c r="G2007">
        <v>6080</v>
      </c>
      <c r="H2007" s="9">
        <v>40091</v>
      </c>
    </row>
    <row r="2008" spans="6:8">
      <c r="F2008">
        <v>27019</v>
      </c>
      <c r="G2008">
        <v>4912</v>
      </c>
      <c r="H2008" s="9">
        <v>40092</v>
      </c>
    </row>
    <row r="2009" spans="6:8">
      <c r="F2009">
        <v>27026</v>
      </c>
      <c r="G2009">
        <v>2152</v>
      </c>
      <c r="H2009" s="9">
        <v>40092</v>
      </c>
    </row>
    <row r="2010" spans="6:8">
      <c r="F2010">
        <v>27033</v>
      </c>
      <c r="G2010">
        <v>5710</v>
      </c>
      <c r="H2010" s="9">
        <v>40093</v>
      </c>
    </row>
    <row r="2011" spans="6:8">
      <c r="F2011">
        <v>27035</v>
      </c>
      <c r="G2011">
        <v>3691</v>
      </c>
      <c r="H2011" s="9">
        <v>40093</v>
      </c>
    </row>
    <row r="2012" spans="6:8">
      <c r="F2012">
        <v>27071</v>
      </c>
      <c r="G2012">
        <v>808</v>
      </c>
      <c r="H2012" s="9">
        <v>40094</v>
      </c>
    </row>
    <row r="2013" spans="6:8">
      <c r="F2013">
        <v>27080</v>
      </c>
      <c r="G2013">
        <v>4705</v>
      </c>
      <c r="H2013" s="9">
        <v>40094</v>
      </c>
    </row>
    <row r="2014" spans="6:8">
      <c r="F2014">
        <v>27107</v>
      </c>
      <c r="G2014">
        <v>2399</v>
      </c>
      <c r="H2014" s="9">
        <v>40094</v>
      </c>
    </row>
    <row r="2015" spans="6:8">
      <c r="F2015">
        <v>27111</v>
      </c>
      <c r="G2015">
        <v>336</v>
      </c>
      <c r="H2015" s="9">
        <v>40094</v>
      </c>
    </row>
    <row r="2016" spans="6:8">
      <c r="F2016">
        <v>27125</v>
      </c>
      <c r="G2016">
        <v>1167</v>
      </c>
      <c r="H2016" s="9">
        <v>40095</v>
      </c>
    </row>
    <row r="2017" spans="6:8">
      <c r="F2017">
        <v>27159</v>
      </c>
      <c r="G2017">
        <v>6865</v>
      </c>
      <c r="H2017" s="9">
        <v>40099</v>
      </c>
    </row>
    <row r="2018" spans="6:8">
      <c r="F2018">
        <v>27164</v>
      </c>
      <c r="G2018">
        <v>6869</v>
      </c>
      <c r="H2018" s="9">
        <v>40099</v>
      </c>
    </row>
    <row r="2019" spans="6:8">
      <c r="F2019">
        <v>27229</v>
      </c>
      <c r="G2019">
        <v>964</v>
      </c>
      <c r="H2019" s="9">
        <v>40099</v>
      </c>
    </row>
    <row r="2020" spans="6:8">
      <c r="F2020">
        <v>27240</v>
      </c>
      <c r="G2020">
        <v>3840</v>
      </c>
      <c r="H2020" s="9">
        <v>40100</v>
      </c>
    </row>
    <row r="2021" spans="6:8">
      <c r="F2021">
        <v>27242</v>
      </c>
      <c r="G2021">
        <v>5155</v>
      </c>
      <c r="H2021" s="9">
        <v>40100</v>
      </c>
    </row>
    <row r="2022" spans="6:8">
      <c r="F2022">
        <v>27259</v>
      </c>
      <c r="G2022">
        <v>3869</v>
      </c>
      <c r="H2022" s="9">
        <v>40100</v>
      </c>
    </row>
    <row r="2023" spans="6:8">
      <c r="F2023">
        <v>27268</v>
      </c>
      <c r="G2023">
        <v>4322</v>
      </c>
      <c r="H2023" s="9">
        <v>40100</v>
      </c>
    </row>
    <row r="2024" spans="6:8">
      <c r="F2024">
        <v>27272</v>
      </c>
      <c r="G2024">
        <v>5095</v>
      </c>
      <c r="H2024" s="9">
        <v>40100</v>
      </c>
    </row>
    <row r="2025" spans="6:8">
      <c r="F2025">
        <v>27280</v>
      </c>
      <c r="G2025">
        <v>4344</v>
      </c>
      <c r="H2025" s="9">
        <v>40100</v>
      </c>
    </row>
    <row r="2026" spans="6:8">
      <c r="F2026">
        <v>27281</v>
      </c>
      <c r="G2026">
        <v>3134</v>
      </c>
      <c r="H2026" s="9">
        <v>40100</v>
      </c>
    </row>
    <row r="2027" spans="6:8">
      <c r="F2027">
        <v>27286</v>
      </c>
      <c r="G2027">
        <v>2423</v>
      </c>
      <c r="H2027" s="9">
        <v>40100</v>
      </c>
    </row>
    <row r="2028" spans="6:8">
      <c r="F2028">
        <v>27302</v>
      </c>
      <c r="G2028">
        <v>6111</v>
      </c>
      <c r="H2028" s="9">
        <v>40101</v>
      </c>
    </row>
    <row r="2029" spans="6:8">
      <c r="F2029">
        <v>27308</v>
      </c>
      <c r="G2029">
        <v>3035</v>
      </c>
      <c r="H2029" s="9">
        <v>40101</v>
      </c>
    </row>
    <row r="2030" spans="6:8">
      <c r="F2030">
        <v>27320</v>
      </c>
      <c r="G2030">
        <v>2499</v>
      </c>
      <c r="H2030" s="9">
        <v>40101</v>
      </c>
    </row>
    <row r="2031" spans="6:8">
      <c r="F2031">
        <v>27321</v>
      </c>
      <c r="G2031">
        <v>6808</v>
      </c>
      <c r="H2031" s="9">
        <v>40101</v>
      </c>
    </row>
    <row r="2032" spans="6:8">
      <c r="F2032">
        <v>27327</v>
      </c>
      <c r="G2032">
        <v>1527</v>
      </c>
      <c r="H2032" s="9">
        <v>40101</v>
      </c>
    </row>
    <row r="2033" spans="6:8">
      <c r="F2033">
        <v>27328</v>
      </c>
      <c r="G2033">
        <v>1278</v>
      </c>
      <c r="H2033" s="9">
        <v>40101</v>
      </c>
    </row>
    <row r="2034" spans="6:8">
      <c r="F2034">
        <v>27334</v>
      </c>
      <c r="G2034">
        <v>458</v>
      </c>
      <c r="H2034" s="9">
        <v>40101</v>
      </c>
    </row>
    <row r="2035" spans="6:8">
      <c r="F2035">
        <v>27371</v>
      </c>
      <c r="G2035">
        <v>4479</v>
      </c>
      <c r="H2035" s="9">
        <v>40102</v>
      </c>
    </row>
    <row r="2036" spans="6:8">
      <c r="F2036">
        <v>27394</v>
      </c>
      <c r="G2036">
        <v>75</v>
      </c>
      <c r="H2036" s="9">
        <v>40102</v>
      </c>
    </row>
    <row r="2037" spans="6:8">
      <c r="F2037">
        <v>27441</v>
      </c>
      <c r="G2037">
        <v>555</v>
      </c>
      <c r="H2037" s="9">
        <v>40105</v>
      </c>
    </row>
    <row r="2038" spans="6:8">
      <c r="F2038">
        <v>27533</v>
      </c>
      <c r="G2038">
        <v>4078</v>
      </c>
      <c r="H2038" s="9">
        <v>40107</v>
      </c>
    </row>
    <row r="2039" spans="6:8">
      <c r="F2039">
        <v>27549</v>
      </c>
      <c r="G2039">
        <v>4269</v>
      </c>
      <c r="H2039" s="9">
        <v>40108</v>
      </c>
    </row>
    <row r="2040" spans="6:8">
      <c r="F2040">
        <v>27560</v>
      </c>
      <c r="G2040">
        <v>5378</v>
      </c>
      <c r="H2040" s="9">
        <v>40108</v>
      </c>
    </row>
    <row r="2041" spans="6:8">
      <c r="F2041">
        <v>27561</v>
      </c>
      <c r="G2041">
        <v>5636</v>
      </c>
      <c r="H2041" s="9">
        <v>40108</v>
      </c>
    </row>
    <row r="2042" spans="6:8">
      <c r="F2042">
        <v>27568</v>
      </c>
      <c r="G2042">
        <v>2808</v>
      </c>
      <c r="H2042" s="9">
        <v>40108</v>
      </c>
    </row>
    <row r="2043" spans="6:8">
      <c r="F2043">
        <v>27569</v>
      </c>
      <c r="G2043">
        <v>6713</v>
      </c>
      <c r="H2043" s="9">
        <v>40108</v>
      </c>
    </row>
    <row r="2044" spans="6:8">
      <c r="F2044">
        <v>27581</v>
      </c>
      <c r="G2044">
        <v>4965</v>
      </c>
      <c r="H2044" s="9">
        <v>40108</v>
      </c>
    </row>
    <row r="2045" spans="6:8">
      <c r="F2045">
        <v>27592</v>
      </c>
      <c r="G2045">
        <v>1782</v>
      </c>
      <c r="H2045" s="9">
        <v>40108</v>
      </c>
    </row>
    <row r="2046" spans="6:8">
      <c r="F2046">
        <v>27602</v>
      </c>
      <c r="G2046">
        <v>5633</v>
      </c>
      <c r="H2046" s="9">
        <v>40109</v>
      </c>
    </row>
    <row r="2047" spans="6:8">
      <c r="F2047">
        <v>27623</v>
      </c>
      <c r="G2047">
        <v>3849</v>
      </c>
      <c r="H2047" s="9">
        <v>40109</v>
      </c>
    </row>
    <row r="2048" spans="6:8">
      <c r="F2048">
        <v>27666</v>
      </c>
      <c r="G2048">
        <v>6658</v>
      </c>
      <c r="H2048" s="9">
        <v>40112</v>
      </c>
    </row>
    <row r="2049" spans="6:8">
      <c r="F2049">
        <v>27701</v>
      </c>
      <c r="G2049">
        <v>6884</v>
      </c>
      <c r="H2049" s="9">
        <v>40113</v>
      </c>
    </row>
    <row r="2050" spans="6:8">
      <c r="F2050">
        <v>27711</v>
      </c>
      <c r="G2050">
        <v>6636</v>
      </c>
      <c r="H2050" s="9">
        <v>40113</v>
      </c>
    </row>
    <row r="2051" spans="6:8">
      <c r="F2051">
        <v>27790</v>
      </c>
      <c r="G2051">
        <v>3501</v>
      </c>
      <c r="H2051" s="9">
        <v>40114</v>
      </c>
    </row>
    <row r="2052" spans="6:8">
      <c r="F2052">
        <v>27813</v>
      </c>
      <c r="G2052">
        <v>6887</v>
      </c>
      <c r="H2052" s="9">
        <v>40114</v>
      </c>
    </row>
    <row r="2053" spans="6:8">
      <c r="F2053">
        <v>27817</v>
      </c>
      <c r="G2053">
        <v>4085</v>
      </c>
      <c r="H2053" s="9">
        <v>40114</v>
      </c>
    </row>
    <row r="2054" spans="6:8">
      <c r="F2054">
        <v>27823</v>
      </c>
      <c r="G2054">
        <v>6888</v>
      </c>
      <c r="H2054" s="9">
        <v>40114</v>
      </c>
    </row>
    <row r="2055" spans="6:8">
      <c r="F2055">
        <v>27826</v>
      </c>
      <c r="G2055">
        <v>6889</v>
      </c>
      <c r="H2055" s="9">
        <v>40114</v>
      </c>
    </row>
    <row r="2056" spans="6:8">
      <c r="F2056">
        <v>27840</v>
      </c>
      <c r="G2056">
        <v>1694</v>
      </c>
      <c r="H2056" s="9">
        <v>40115</v>
      </c>
    </row>
    <row r="2057" spans="6:8">
      <c r="F2057">
        <v>27872</v>
      </c>
      <c r="G2057">
        <v>6898</v>
      </c>
      <c r="H2057" s="9">
        <v>40116</v>
      </c>
    </row>
    <row r="2058" spans="6:8">
      <c r="F2058">
        <v>27874</v>
      </c>
      <c r="G2058">
        <v>5698</v>
      </c>
      <c r="H2058" s="9">
        <v>40116</v>
      </c>
    </row>
    <row r="2059" spans="6:8">
      <c r="F2059">
        <v>27876</v>
      </c>
      <c r="G2059">
        <v>4101</v>
      </c>
      <c r="H2059" s="9">
        <v>40116</v>
      </c>
    </row>
    <row r="2060" spans="6:8">
      <c r="F2060">
        <v>27877</v>
      </c>
      <c r="G2060">
        <v>4350</v>
      </c>
      <c r="H2060" s="9">
        <v>40116</v>
      </c>
    </row>
    <row r="2061" spans="6:8">
      <c r="F2061">
        <v>27879</v>
      </c>
      <c r="G2061">
        <v>3515</v>
      </c>
      <c r="H2061" s="9">
        <v>40116</v>
      </c>
    </row>
    <row r="2062" spans="6:8">
      <c r="F2062">
        <v>27922</v>
      </c>
      <c r="G2062">
        <v>78</v>
      </c>
      <c r="H2062" s="9">
        <v>40119</v>
      </c>
    </row>
    <row r="2063" spans="6:8">
      <c r="F2063">
        <v>27937</v>
      </c>
      <c r="G2063">
        <v>4825</v>
      </c>
      <c r="H2063" s="9">
        <v>40119</v>
      </c>
    </row>
    <row r="2064" spans="6:8">
      <c r="F2064">
        <v>27957</v>
      </c>
      <c r="G2064">
        <v>6899</v>
      </c>
      <c r="H2064" s="9">
        <v>40119</v>
      </c>
    </row>
    <row r="2065" spans="6:8">
      <c r="F2065">
        <v>27992</v>
      </c>
      <c r="G2065">
        <v>6627</v>
      </c>
      <c r="H2065" s="9">
        <v>40120</v>
      </c>
    </row>
    <row r="2066" spans="6:8">
      <c r="F2066">
        <v>28007</v>
      </c>
      <c r="G2066">
        <v>1705</v>
      </c>
      <c r="H2066" s="9">
        <v>40120</v>
      </c>
    </row>
    <row r="2067" spans="6:8">
      <c r="F2067">
        <v>28014</v>
      </c>
      <c r="G2067">
        <v>4510</v>
      </c>
      <c r="H2067" s="9">
        <v>40120</v>
      </c>
    </row>
    <row r="2068" spans="6:8">
      <c r="F2068">
        <v>28017</v>
      </c>
      <c r="G2068">
        <v>3201</v>
      </c>
      <c r="H2068" s="9">
        <v>40120</v>
      </c>
    </row>
    <row r="2069" spans="6:8">
      <c r="F2069">
        <v>28026</v>
      </c>
      <c r="G2069">
        <v>6039</v>
      </c>
      <c r="H2069" s="9">
        <v>40121</v>
      </c>
    </row>
    <row r="2070" spans="6:8">
      <c r="F2070">
        <v>28036</v>
      </c>
      <c r="G2070">
        <v>2675</v>
      </c>
      <c r="H2070" s="9">
        <v>40121</v>
      </c>
    </row>
    <row r="2071" spans="6:8">
      <c r="F2071">
        <v>28038</v>
      </c>
      <c r="G2071">
        <v>4008</v>
      </c>
      <c r="H2071" s="9">
        <v>40121</v>
      </c>
    </row>
    <row r="2072" spans="6:8">
      <c r="F2072">
        <v>28040</v>
      </c>
      <c r="G2072">
        <v>5163</v>
      </c>
      <c r="H2072" s="9">
        <v>40121</v>
      </c>
    </row>
    <row r="2073" spans="6:8">
      <c r="F2073">
        <v>28065</v>
      </c>
      <c r="G2073">
        <v>6903</v>
      </c>
      <c r="H2073" s="9">
        <v>40122</v>
      </c>
    </row>
    <row r="2074" spans="6:8">
      <c r="F2074">
        <v>28069</v>
      </c>
      <c r="G2074">
        <v>1196</v>
      </c>
      <c r="H2074" s="9">
        <v>40122</v>
      </c>
    </row>
    <row r="2075" spans="6:8">
      <c r="F2075">
        <v>28079</v>
      </c>
      <c r="G2075">
        <v>2742</v>
      </c>
      <c r="H2075" s="9">
        <v>40122</v>
      </c>
    </row>
    <row r="2076" spans="6:8">
      <c r="F2076">
        <v>28102</v>
      </c>
      <c r="G2076">
        <v>6429</v>
      </c>
      <c r="H2076" s="9">
        <v>40123</v>
      </c>
    </row>
    <row r="2077" spans="6:8">
      <c r="F2077">
        <v>28103</v>
      </c>
      <c r="G2077">
        <v>5975</v>
      </c>
      <c r="H2077" s="9">
        <v>40123</v>
      </c>
    </row>
    <row r="2078" spans="6:8">
      <c r="F2078">
        <v>28106</v>
      </c>
      <c r="G2078">
        <v>5408</v>
      </c>
      <c r="H2078" s="9">
        <v>40123</v>
      </c>
    </row>
    <row r="2079" spans="6:8">
      <c r="F2079">
        <v>28119</v>
      </c>
      <c r="G2079">
        <v>167</v>
      </c>
      <c r="H2079" s="9">
        <v>40123</v>
      </c>
    </row>
    <row r="2080" spans="6:8">
      <c r="F2080">
        <v>28137</v>
      </c>
      <c r="G2080">
        <v>744</v>
      </c>
      <c r="H2080" s="9">
        <v>40123</v>
      </c>
    </row>
    <row r="2081" spans="6:8">
      <c r="F2081">
        <v>28171</v>
      </c>
      <c r="G2081">
        <v>6754</v>
      </c>
      <c r="H2081" s="9">
        <v>40126</v>
      </c>
    </row>
    <row r="2082" spans="6:8">
      <c r="F2082">
        <v>28177</v>
      </c>
      <c r="G2082">
        <v>5634</v>
      </c>
      <c r="H2082" s="9">
        <v>40126</v>
      </c>
    </row>
    <row r="2083" spans="6:8">
      <c r="F2083">
        <v>28217</v>
      </c>
      <c r="G2083">
        <v>4288</v>
      </c>
      <c r="H2083" s="9">
        <v>40127</v>
      </c>
    </row>
    <row r="2084" spans="6:8">
      <c r="F2084">
        <v>28248</v>
      </c>
      <c r="G2084">
        <v>220</v>
      </c>
      <c r="H2084" s="9">
        <v>40127</v>
      </c>
    </row>
    <row r="2085" spans="6:8">
      <c r="F2085">
        <v>28258</v>
      </c>
      <c r="G2085">
        <v>3003</v>
      </c>
      <c r="H2085" s="9">
        <v>40127</v>
      </c>
    </row>
    <row r="2086" spans="6:8">
      <c r="F2086">
        <v>28284</v>
      </c>
      <c r="G2086">
        <v>2844</v>
      </c>
      <c r="H2086" s="9">
        <v>40128</v>
      </c>
    </row>
    <row r="2087" spans="6:8">
      <c r="F2087">
        <v>28334</v>
      </c>
      <c r="G2087">
        <v>6860</v>
      </c>
      <c r="H2087" s="9">
        <v>40129</v>
      </c>
    </row>
    <row r="2088" spans="6:8">
      <c r="F2088">
        <v>28341</v>
      </c>
      <c r="G2088">
        <v>6911</v>
      </c>
      <c r="H2088" s="9">
        <v>40129</v>
      </c>
    </row>
    <row r="2089" spans="6:8">
      <c r="F2089">
        <v>28354</v>
      </c>
      <c r="G2089">
        <v>2193</v>
      </c>
      <c r="H2089" s="9">
        <v>40129</v>
      </c>
    </row>
    <row r="2090" spans="6:8">
      <c r="F2090">
        <v>28394</v>
      </c>
      <c r="G2090">
        <v>1154</v>
      </c>
      <c r="H2090" s="9">
        <v>40131</v>
      </c>
    </row>
    <row r="2091" spans="6:8">
      <c r="F2091">
        <v>28396</v>
      </c>
      <c r="G2091">
        <v>3111</v>
      </c>
      <c r="H2091" s="9">
        <v>40131</v>
      </c>
    </row>
    <row r="2092" spans="6:8">
      <c r="F2092">
        <v>28412</v>
      </c>
      <c r="G2092">
        <v>2612</v>
      </c>
      <c r="H2092" s="9">
        <v>40134</v>
      </c>
    </row>
    <row r="2093" spans="6:8">
      <c r="F2093">
        <v>28421</v>
      </c>
      <c r="G2093">
        <v>6918</v>
      </c>
      <c r="H2093" s="9">
        <v>40135</v>
      </c>
    </row>
    <row r="2094" spans="6:8">
      <c r="F2094">
        <v>28431</v>
      </c>
      <c r="G2094">
        <v>4084</v>
      </c>
      <c r="H2094" s="9">
        <v>40135</v>
      </c>
    </row>
    <row r="2095" spans="6:8">
      <c r="F2095">
        <v>28446</v>
      </c>
      <c r="G2095">
        <v>6827</v>
      </c>
      <c r="H2095" s="9">
        <v>40135</v>
      </c>
    </row>
    <row r="2096" spans="6:8">
      <c r="F2096">
        <v>28457</v>
      </c>
      <c r="G2096">
        <v>1878</v>
      </c>
      <c r="H2096" s="9">
        <v>40135</v>
      </c>
    </row>
    <row r="2097" spans="6:8">
      <c r="F2097">
        <v>28480</v>
      </c>
      <c r="G2097">
        <v>3483</v>
      </c>
      <c r="H2097" s="9">
        <v>40135</v>
      </c>
    </row>
    <row r="2098" spans="6:8">
      <c r="F2098">
        <v>28506</v>
      </c>
      <c r="G2098">
        <v>6459</v>
      </c>
      <c r="H2098" s="9">
        <v>40136</v>
      </c>
    </row>
    <row r="2099" spans="6:8">
      <c r="F2099">
        <v>28541</v>
      </c>
      <c r="G2099">
        <v>6931</v>
      </c>
      <c r="H2099" s="9">
        <v>40140</v>
      </c>
    </row>
    <row r="2100" spans="6:8">
      <c r="F2100">
        <v>28545</v>
      </c>
      <c r="G2100">
        <v>6934</v>
      </c>
      <c r="H2100" s="9">
        <v>40140</v>
      </c>
    </row>
    <row r="2101" spans="6:8">
      <c r="F2101">
        <v>28546</v>
      </c>
      <c r="G2101">
        <v>6935</v>
      </c>
      <c r="H2101" s="9">
        <v>40140</v>
      </c>
    </row>
    <row r="2102" spans="6:8">
      <c r="F2102">
        <v>28552</v>
      </c>
      <c r="G2102">
        <v>6938</v>
      </c>
      <c r="H2102" s="9">
        <v>40140</v>
      </c>
    </row>
    <row r="2103" spans="6:8">
      <c r="F2103">
        <v>28557</v>
      </c>
      <c r="G2103">
        <v>5933</v>
      </c>
      <c r="H2103" s="9">
        <v>40140</v>
      </c>
    </row>
    <row r="2104" spans="6:8">
      <c r="F2104">
        <v>28564</v>
      </c>
      <c r="G2104">
        <v>6940</v>
      </c>
      <c r="H2104" s="9">
        <v>40140</v>
      </c>
    </row>
    <row r="2105" spans="6:8">
      <c r="F2105">
        <v>28597</v>
      </c>
      <c r="G2105">
        <v>6943</v>
      </c>
      <c r="H2105" s="9">
        <v>40141</v>
      </c>
    </row>
    <row r="2106" spans="6:8">
      <c r="F2106">
        <v>28624</v>
      </c>
      <c r="G2106">
        <v>2159</v>
      </c>
      <c r="H2106" s="9">
        <v>40141</v>
      </c>
    </row>
    <row r="2107" spans="6:8">
      <c r="F2107">
        <v>28701</v>
      </c>
      <c r="G2107">
        <v>6946</v>
      </c>
      <c r="H2107" s="9">
        <v>40141</v>
      </c>
    </row>
    <row r="2108" spans="6:8">
      <c r="F2108">
        <v>28710</v>
      </c>
      <c r="G2108">
        <v>2789</v>
      </c>
      <c r="H2108" s="9">
        <v>40141</v>
      </c>
    </row>
    <row r="2109" spans="6:8">
      <c r="F2109">
        <v>28759</v>
      </c>
      <c r="G2109">
        <v>6947</v>
      </c>
      <c r="H2109" s="9">
        <v>40143</v>
      </c>
    </row>
    <row r="2110" spans="6:8">
      <c r="F2110">
        <v>28760</v>
      </c>
      <c r="G2110">
        <v>6948</v>
      </c>
      <c r="H2110" s="9">
        <v>40143</v>
      </c>
    </row>
    <row r="2111" spans="6:8">
      <c r="F2111">
        <v>28761</v>
      </c>
      <c r="G2111">
        <v>3145</v>
      </c>
      <c r="H2111" s="9">
        <v>40143</v>
      </c>
    </row>
    <row r="2112" spans="6:8">
      <c r="F2112">
        <v>28766</v>
      </c>
      <c r="G2112">
        <v>6952</v>
      </c>
      <c r="H2112" s="9">
        <v>40144</v>
      </c>
    </row>
    <row r="2113" spans="6:8">
      <c r="F2113">
        <v>28789</v>
      </c>
      <c r="G2113">
        <v>6955</v>
      </c>
      <c r="H2113" s="9">
        <v>40144</v>
      </c>
    </row>
    <row r="2114" spans="6:8">
      <c r="F2114">
        <v>28841</v>
      </c>
      <c r="G2114">
        <v>5302</v>
      </c>
      <c r="H2114" s="9">
        <v>40149</v>
      </c>
    </row>
    <row r="2115" spans="6:8">
      <c r="F2115">
        <v>28844</v>
      </c>
      <c r="G2115">
        <v>6960</v>
      </c>
      <c r="H2115" s="9">
        <v>40149</v>
      </c>
    </row>
    <row r="2116" spans="6:8">
      <c r="F2116">
        <v>28885</v>
      </c>
      <c r="G2116">
        <v>4441</v>
      </c>
      <c r="H2116" s="9">
        <v>40147</v>
      </c>
    </row>
    <row r="2117" spans="6:8">
      <c r="F2117">
        <v>28901</v>
      </c>
      <c r="G2117">
        <v>3531</v>
      </c>
      <c r="H2117" s="9">
        <v>40148</v>
      </c>
    </row>
    <row r="2118" spans="6:8">
      <c r="F2118">
        <v>28912</v>
      </c>
      <c r="G2118">
        <v>6078</v>
      </c>
      <c r="H2118" s="9">
        <v>40148</v>
      </c>
    </row>
    <row r="2119" spans="6:8">
      <c r="F2119">
        <v>28923</v>
      </c>
      <c r="G2119">
        <v>518</v>
      </c>
      <c r="H2119" s="9">
        <v>40150</v>
      </c>
    </row>
    <row r="2120" spans="6:8">
      <c r="F2120">
        <v>28965</v>
      </c>
      <c r="G2120">
        <v>6965</v>
      </c>
      <c r="H2120" s="9">
        <v>40154</v>
      </c>
    </row>
    <row r="2121" spans="6:8">
      <c r="F2121">
        <v>29005</v>
      </c>
      <c r="G2121">
        <v>6941</v>
      </c>
      <c r="H2121" s="9">
        <v>40154</v>
      </c>
    </row>
    <row r="2122" spans="6:8">
      <c r="F2122">
        <v>29007</v>
      </c>
      <c r="G2122">
        <v>4303</v>
      </c>
      <c r="H2122" s="9">
        <v>40154</v>
      </c>
    </row>
    <row r="2123" spans="6:8">
      <c r="F2123">
        <v>29008</v>
      </c>
      <c r="G2123">
        <v>6897</v>
      </c>
      <c r="H2123" s="9">
        <v>40154</v>
      </c>
    </row>
    <row r="2124" spans="6:8">
      <c r="F2124">
        <v>29031</v>
      </c>
      <c r="G2124">
        <v>1524</v>
      </c>
      <c r="H2124" s="9">
        <v>40154</v>
      </c>
    </row>
    <row r="2125" spans="6:8">
      <c r="F2125">
        <v>29038</v>
      </c>
      <c r="G2125">
        <v>2787</v>
      </c>
      <c r="H2125" s="9">
        <v>40154</v>
      </c>
    </row>
    <row r="2126" spans="6:8">
      <c r="F2126">
        <v>29041</v>
      </c>
      <c r="G2126">
        <v>2929</v>
      </c>
      <c r="H2126" s="9">
        <v>40154</v>
      </c>
    </row>
    <row r="2127" spans="6:8">
      <c r="F2127">
        <v>29047</v>
      </c>
      <c r="G2127">
        <v>5369</v>
      </c>
      <c r="H2127" s="9">
        <v>40155</v>
      </c>
    </row>
    <row r="2128" spans="6:8">
      <c r="F2128">
        <v>29055</v>
      </c>
      <c r="G2128">
        <v>5661</v>
      </c>
      <c r="H2128" s="9">
        <v>40155</v>
      </c>
    </row>
    <row r="2129" spans="6:8">
      <c r="F2129">
        <v>29057</v>
      </c>
      <c r="G2129">
        <v>1176</v>
      </c>
      <c r="H2129" s="9">
        <v>40155</v>
      </c>
    </row>
    <row r="2130" spans="6:8">
      <c r="F2130">
        <v>29064</v>
      </c>
      <c r="G2130">
        <v>5730</v>
      </c>
      <c r="H2130" s="9">
        <v>40155</v>
      </c>
    </row>
    <row r="2131" spans="6:8">
      <c r="F2131">
        <v>29095</v>
      </c>
      <c r="G2131">
        <v>4664</v>
      </c>
      <c r="H2131" s="9">
        <v>40156</v>
      </c>
    </row>
    <row r="2132" spans="6:8">
      <c r="F2132">
        <v>29100</v>
      </c>
      <c r="G2132">
        <v>4722</v>
      </c>
      <c r="H2132" s="9">
        <v>40156</v>
      </c>
    </row>
    <row r="2133" spans="6:8">
      <c r="F2133">
        <v>29104</v>
      </c>
      <c r="G2133">
        <v>4785</v>
      </c>
      <c r="H2133" s="9">
        <v>40156</v>
      </c>
    </row>
    <row r="2134" spans="6:8">
      <c r="F2134">
        <v>29119</v>
      </c>
      <c r="G2134">
        <v>5138</v>
      </c>
      <c r="H2134" s="9">
        <v>40156</v>
      </c>
    </row>
    <row r="2135" spans="6:8">
      <c r="F2135">
        <v>29120</v>
      </c>
      <c r="G2135">
        <v>4833</v>
      </c>
      <c r="H2135" s="9">
        <v>40156</v>
      </c>
    </row>
    <row r="2136" spans="6:8">
      <c r="F2136">
        <v>29129</v>
      </c>
      <c r="G2136">
        <v>962</v>
      </c>
      <c r="H2136" s="9">
        <v>40156</v>
      </c>
    </row>
    <row r="2137" spans="6:8">
      <c r="F2137">
        <v>29130</v>
      </c>
      <c r="G2137">
        <v>6976</v>
      </c>
      <c r="H2137" s="9">
        <v>40156</v>
      </c>
    </row>
    <row r="2138" spans="6:8">
      <c r="F2138">
        <v>29140</v>
      </c>
      <c r="G2138">
        <v>2397</v>
      </c>
      <c r="H2138" s="9">
        <v>40157</v>
      </c>
    </row>
    <row r="2139" spans="6:8">
      <c r="F2139">
        <v>29159</v>
      </c>
      <c r="G2139">
        <v>6977</v>
      </c>
      <c r="H2139" s="9">
        <v>40157</v>
      </c>
    </row>
    <row r="2140" spans="6:8">
      <c r="F2140">
        <v>29202</v>
      </c>
      <c r="G2140">
        <v>4108</v>
      </c>
      <c r="H2140" s="9">
        <v>40157</v>
      </c>
    </row>
    <row r="2141" spans="6:8">
      <c r="F2141">
        <v>29212</v>
      </c>
      <c r="G2141">
        <v>6981</v>
      </c>
      <c r="H2141" s="9">
        <v>40157</v>
      </c>
    </row>
    <row r="2142" spans="6:8">
      <c r="F2142">
        <v>29217</v>
      </c>
      <c r="G2142">
        <v>5547</v>
      </c>
      <c r="H2142" s="9">
        <v>40158</v>
      </c>
    </row>
    <row r="2143" spans="6:8">
      <c r="F2143">
        <v>29220</v>
      </c>
      <c r="G2143">
        <v>7001</v>
      </c>
      <c r="H2143" s="9">
        <v>39707</v>
      </c>
    </row>
    <row r="2144" spans="6:8">
      <c r="F2144">
        <v>29222</v>
      </c>
      <c r="G2144">
        <v>7002</v>
      </c>
      <c r="H2144" s="9">
        <v>39707</v>
      </c>
    </row>
    <row r="2145" spans="6:8">
      <c r="F2145">
        <v>29225</v>
      </c>
      <c r="G2145">
        <v>6852</v>
      </c>
      <c r="H2145" s="9">
        <v>39707</v>
      </c>
    </row>
    <row r="2146" spans="6:8">
      <c r="F2146">
        <v>29230</v>
      </c>
      <c r="G2146">
        <v>6032</v>
      </c>
      <c r="H2146" s="9">
        <v>40158</v>
      </c>
    </row>
    <row r="2147" spans="6:8">
      <c r="F2147">
        <v>29232</v>
      </c>
      <c r="G2147">
        <v>6077</v>
      </c>
      <c r="H2147" s="9">
        <v>39808</v>
      </c>
    </row>
    <row r="2148" spans="6:8">
      <c r="F2148">
        <v>29233</v>
      </c>
      <c r="G2148">
        <v>326</v>
      </c>
      <c r="H2148" s="9">
        <v>40158</v>
      </c>
    </row>
    <row r="2149" spans="6:8">
      <c r="F2149">
        <v>29240</v>
      </c>
      <c r="G2149">
        <v>259</v>
      </c>
      <c r="H2149" s="9">
        <v>40158</v>
      </c>
    </row>
    <row r="2150" spans="6:8">
      <c r="F2150">
        <v>29261</v>
      </c>
      <c r="G2150">
        <v>4026</v>
      </c>
      <c r="H2150" s="9">
        <v>40158</v>
      </c>
    </row>
    <row r="2151" spans="6:8">
      <c r="F2151">
        <v>29270</v>
      </c>
      <c r="G2151">
        <v>243</v>
      </c>
      <c r="H2151" s="9">
        <v>40158</v>
      </c>
    </row>
    <row r="2152" spans="6:8">
      <c r="F2152">
        <v>29281</v>
      </c>
      <c r="G2152">
        <v>6969</v>
      </c>
      <c r="H2152" s="9">
        <v>40158</v>
      </c>
    </row>
    <row r="2153" spans="6:8">
      <c r="F2153">
        <v>29295</v>
      </c>
      <c r="G2153">
        <v>7016</v>
      </c>
      <c r="H2153" s="9">
        <v>40158</v>
      </c>
    </row>
    <row r="2154" spans="6:8">
      <c r="F2154">
        <v>29298</v>
      </c>
      <c r="G2154">
        <v>7018</v>
      </c>
      <c r="H2154" s="9">
        <v>39880</v>
      </c>
    </row>
    <row r="2155" spans="6:8">
      <c r="F2155">
        <v>29301</v>
      </c>
      <c r="G2155">
        <v>5451</v>
      </c>
      <c r="H2155" s="9">
        <v>40161</v>
      </c>
    </row>
    <row r="2156" spans="6:8">
      <c r="F2156">
        <v>29315</v>
      </c>
      <c r="G2156">
        <v>2123</v>
      </c>
      <c r="H2156" s="9">
        <v>40161</v>
      </c>
    </row>
    <row r="2157" spans="6:8">
      <c r="F2157">
        <v>29320</v>
      </c>
      <c r="G2157">
        <v>6210</v>
      </c>
      <c r="H2157" s="9">
        <v>40161</v>
      </c>
    </row>
    <row r="2158" spans="6:8">
      <c r="F2158">
        <v>29344</v>
      </c>
      <c r="G2158">
        <v>5617</v>
      </c>
      <c r="H2158" s="9">
        <v>40162</v>
      </c>
    </row>
    <row r="2159" spans="6:8">
      <c r="F2159">
        <v>29364</v>
      </c>
      <c r="G2159">
        <v>6419</v>
      </c>
      <c r="H2159" s="9">
        <v>40162</v>
      </c>
    </row>
    <row r="2160" spans="6:8">
      <c r="F2160">
        <v>29381</v>
      </c>
      <c r="G2160">
        <v>5216</v>
      </c>
      <c r="H2160" s="9">
        <v>40162</v>
      </c>
    </row>
    <row r="2161" spans="6:8">
      <c r="F2161">
        <v>29382</v>
      </c>
      <c r="G2161">
        <v>5525</v>
      </c>
      <c r="H2161" s="9">
        <v>40162</v>
      </c>
    </row>
    <row r="2162" spans="6:8">
      <c r="F2162">
        <v>29384</v>
      </c>
      <c r="G2162">
        <v>7026</v>
      </c>
      <c r="H2162" s="9">
        <v>40162</v>
      </c>
    </row>
    <row r="2163" spans="6:8">
      <c r="F2163">
        <v>29413</v>
      </c>
      <c r="G2163">
        <v>5629</v>
      </c>
      <c r="H2163" s="9">
        <v>40163</v>
      </c>
    </row>
    <row r="2164" spans="6:8">
      <c r="F2164">
        <v>29432</v>
      </c>
      <c r="G2164">
        <v>1249</v>
      </c>
      <c r="H2164" s="9">
        <v>40163</v>
      </c>
    </row>
    <row r="2165" spans="6:8">
      <c r="F2165">
        <v>29473</v>
      </c>
      <c r="G2165">
        <v>3720</v>
      </c>
      <c r="H2165" s="9">
        <v>40164</v>
      </c>
    </row>
    <row r="2166" spans="6:8">
      <c r="F2166">
        <v>29479</v>
      </c>
      <c r="G2166">
        <v>5785</v>
      </c>
      <c r="H2166" s="9">
        <v>40164</v>
      </c>
    </row>
    <row r="2167" spans="6:8">
      <c r="F2167">
        <v>29499</v>
      </c>
      <c r="G2167">
        <v>6451</v>
      </c>
      <c r="H2167" s="9">
        <v>40164</v>
      </c>
    </row>
    <row r="2168" spans="6:8">
      <c r="F2168">
        <v>29522</v>
      </c>
      <c r="G2168">
        <v>126</v>
      </c>
      <c r="H2168" s="9">
        <v>40165</v>
      </c>
    </row>
    <row r="2169" spans="6:8">
      <c r="F2169">
        <v>29534</v>
      </c>
      <c r="G2169">
        <v>7032</v>
      </c>
      <c r="H2169" s="9">
        <v>40165</v>
      </c>
    </row>
    <row r="2170" spans="6:8">
      <c r="F2170">
        <v>29541</v>
      </c>
      <c r="G2170">
        <v>4346</v>
      </c>
      <c r="H2170" s="9">
        <v>40165</v>
      </c>
    </row>
    <row r="2171" spans="6:8">
      <c r="F2171">
        <v>29543</v>
      </c>
      <c r="G2171">
        <v>2790</v>
      </c>
      <c r="H2171" s="9">
        <v>40165</v>
      </c>
    </row>
    <row r="2172" spans="6:8">
      <c r="F2172">
        <v>29549</v>
      </c>
      <c r="G2172">
        <v>6015</v>
      </c>
      <c r="H2172" s="9">
        <v>40165</v>
      </c>
    </row>
    <row r="2173" spans="6:8">
      <c r="F2173">
        <v>29564</v>
      </c>
      <c r="G2173">
        <v>901</v>
      </c>
      <c r="H2173" s="9">
        <v>40165</v>
      </c>
    </row>
    <row r="2174" spans="6:8">
      <c r="F2174">
        <v>29575</v>
      </c>
      <c r="G2174">
        <v>3991</v>
      </c>
      <c r="H2174" s="9">
        <v>40169</v>
      </c>
    </row>
    <row r="2175" spans="6:8">
      <c r="F2175">
        <v>29597</v>
      </c>
      <c r="G2175">
        <v>7034</v>
      </c>
      <c r="H2175" s="9">
        <v>40168</v>
      </c>
    </row>
    <row r="2176" spans="6:8">
      <c r="F2176">
        <v>29600</v>
      </c>
      <c r="G2176">
        <v>6193</v>
      </c>
      <c r="H2176" s="9">
        <v>40168</v>
      </c>
    </row>
    <row r="2177" spans="6:8">
      <c r="F2177">
        <v>29601</v>
      </c>
      <c r="G2177">
        <v>6641</v>
      </c>
      <c r="H2177" s="9">
        <v>40168</v>
      </c>
    </row>
    <row r="2178" spans="6:8">
      <c r="F2178">
        <v>29604</v>
      </c>
      <c r="G2178">
        <v>7035</v>
      </c>
      <c r="H2178" s="9">
        <v>40168</v>
      </c>
    </row>
    <row r="2179" spans="6:8">
      <c r="F2179">
        <v>29652</v>
      </c>
      <c r="G2179">
        <v>1820</v>
      </c>
      <c r="H2179" s="9">
        <v>40177</v>
      </c>
    </row>
    <row r="2180" spans="6:8">
      <c r="F2180">
        <v>29657</v>
      </c>
      <c r="G2180">
        <v>3055</v>
      </c>
      <c r="H2180" s="9">
        <v>40170</v>
      </c>
    </row>
    <row r="2181" spans="6:8">
      <c r="F2181">
        <v>29703</v>
      </c>
      <c r="G2181">
        <v>1682</v>
      </c>
      <c r="H2181" s="9">
        <v>40170</v>
      </c>
    </row>
    <row r="2182" spans="6:8">
      <c r="F2182">
        <v>29720</v>
      </c>
      <c r="G2182">
        <v>7039</v>
      </c>
      <c r="H2182" s="9">
        <v>40172</v>
      </c>
    </row>
    <row r="2183" spans="6:8">
      <c r="F2183">
        <v>29722</v>
      </c>
      <c r="G2183">
        <v>3673</v>
      </c>
      <c r="H2183" s="9">
        <v>40172</v>
      </c>
    </row>
    <row r="2184" spans="6:8">
      <c r="F2184">
        <v>29726</v>
      </c>
      <c r="G2184">
        <v>4907</v>
      </c>
      <c r="H2184" s="9">
        <v>40172</v>
      </c>
    </row>
    <row r="2185" spans="6:8">
      <c r="F2185">
        <v>29734</v>
      </c>
      <c r="G2185">
        <v>1097</v>
      </c>
      <c r="H2185" s="9">
        <v>40172</v>
      </c>
    </row>
    <row r="2186" spans="6:8">
      <c r="F2186">
        <v>29747</v>
      </c>
      <c r="G2186">
        <v>2119</v>
      </c>
      <c r="H2186" s="9">
        <v>40172</v>
      </c>
    </row>
    <row r="2187" spans="6:8">
      <c r="F2187">
        <v>29751</v>
      </c>
      <c r="G2187">
        <v>2481</v>
      </c>
      <c r="H2187" s="9">
        <v>40172</v>
      </c>
    </row>
    <row r="2188" spans="6:8">
      <c r="F2188">
        <v>29752</v>
      </c>
      <c r="G2188">
        <v>1171</v>
      </c>
      <c r="H2188" s="9">
        <v>40172</v>
      </c>
    </row>
    <row r="2189" spans="6:8">
      <c r="F2189">
        <v>29754</v>
      </c>
      <c r="G2189">
        <v>2731</v>
      </c>
      <c r="H2189" s="9">
        <v>40172</v>
      </c>
    </row>
    <row r="2190" spans="6:8">
      <c r="F2190">
        <v>29757</v>
      </c>
      <c r="G2190">
        <v>2491</v>
      </c>
      <c r="H2190" s="9">
        <v>40172</v>
      </c>
    </row>
    <row r="2191" spans="6:8">
      <c r="F2191">
        <v>29799</v>
      </c>
      <c r="G2191">
        <v>4238</v>
      </c>
      <c r="H2191" s="9">
        <v>40175</v>
      </c>
    </row>
    <row r="2192" spans="6:8">
      <c r="F2192">
        <v>29800</v>
      </c>
      <c r="G2192">
        <v>7042</v>
      </c>
      <c r="H2192" s="9">
        <v>40175</v>
      </c>
    </row>
    <row r="2193" spans="6:8">
      <c r="F2193">
        <v>29809</v>
      </c>
      <c r="G2193">
        <v>162</v>
      </c>
      <c r="H2193" s="9">
        <v>40175</v>
      </c>
    </row>
    <row r="2194" spans="6:8">
      <c r="F2194">
        <v>29838</v>
      </c>
      <c r="G2194">
        <v>7061</v>
      </c>
      <c r="H2194" s="9">
        <v>40176</v>
      </c>
    </row>
    <row r="2195" spans="6:8">
      <c r="F2195">
        <v>29844</v>
      </c>
      <c r="G2195">
        <v>4947</v>
      </c>
      <c r="H2195" s="9">
        <v>40176</v>
      </c>
    </row>
    <row r="2196" spans="6:8">
      <c r="F2196">
        <v>29908</v>
      </c>
      <c r="G2196">
        <v>1293</v>
      </c>
      <c r="H2196" s="9">
        <v>40177</v>
      </c>
    </row>
    <row r="2197" spans="6:8">
      <c r="F2197">
        <v>29943</v>
      </c>
      <c r="G2197">
        <v>1956</v>
      </c>
      <c r="H2197" s="9">
        <v>40178</v>
      </c>
    </row>
    <row r="2198" spans="6:8">
      <c r="F2198">
        <v>29954</v>
      </c>
      <c r="G2198">
        <v>2169</v>
      </c>
      <c r="H2198" s="9">
        <v>40178</v>
      </c>
    </row>
    <row r="2199" spans="6:8">
      <c r="F2199">
        <v>29960</v>
      </c>
      <c r="G2199">
        <v>165</v>
      </c>
      <c r="H2199" s="9">
        <v>40178</v>
      </c>
    </row>
    <row r="2200" spans="6:8">
      <c r="F2200">
        <v>29965</v>
      </c>
      <c r="G2200">
        <v>4184</v>
      </c>
      <c r="H2200" s="9">
        <v>40178</v>
      </c>
    </row>
    <row r="2201" spans="6:8">
      <c r="F2201">
        <v>29966</v>
      </c>
      <c r="G2201">
        <v>6002</v>
      </c>
      <c r="H2201" s="9">
        <v>40178</v>
      </c>
    </row>
    <row r="2202" spans="6:8">
      <c r="F2202">
        <v>29971</v>
      </c>
      <c r="G2202">
        <v>118</v>
      </c>
      <c r="H2202" s="9">
        <v>40179</v>
      </c>
    </row>
    <row r="2203" spans="6:8">
      <c r="F2203">
        <v>29973</v>
      </c>
      <c r="G2203">
        <v>5641</v>
      </c>
      <c r="H2203" s="9">
        <v>40179</v>
      </c>
    </row>
    <row r="2204" spans="6:8">
      <c r="F2204">
        <v>30009</v>
      </c>
      <c r="G2204">
        <v>7070</v>
      </c>
      <c r="H2204" s="9">
        <v>40182</v>
      </c>
    </row>
    <row r="2205" spans="6:8">
      <c r="F2205">
        <v>30026</v>
      </c>
      <c r="G2205">
        <v>396</v>
      </c>
      <c r="H2205" s="9">
        <v>40182</v>
      </c>
    </row>
    <row r="2206" spans="6:8">
      <c r="F2206">
        <v>30059</v>
      </c>
      <c r="G2206">
        <v>2196</v>
      </c>
      <c r="H2206" s="9">
        <v>40183</v>
      </c>
    </row>
    <row r="2207" spans="6:8">
      <c r="F2207">
        <v>30077</v>
      </c>
      <c r="G2207">
        <v>2847</v>
      </c>
      <c r="H2207" s="9">
        <v>40184</v>
      </c>
    </row>
    <row r="2208" spans="6:8">
      <c r="F2208">
        <v>30082</v>
      </c>
      <c r="G2208">
        <v>5690</v>
      </c>
      <c r="H2208" s="9">
        <v>40184</v>
      </c>
    </row>
    <row r="2209" spans="6:8">
      <c r="F2209">
        <v>30087</v>
      </c>
      <c r="G2209">
        <v>3112</v>
      </c>
      <c r="H2209" s="9">
        <v>40184</v>
      </c>
    </row>
    <row r="2210" spans="6:8">
      <c r="F2210">
        <v>30088</v>
      </c>
      <c r="G2210">
        <v>2682</v>
      </c>
      <c r="H2210" s="9">
        <v>40184</v>
      </c>
    </row>
    <row r="2211" spans="6:8">
      <c r="F2211">
        <v>30166</v>
      </c>
      <c r="G2211">
        <v>7075</v>
      </c>
      <c r="H2211" s="9">
        <v>40189</v>
      </c>
    </row>
    <row r="2212" spans="6:8">
      <c r="F2212">
        <v>30167</v>
      </c>
      <c r="G2212">
        <v>3123</v>
      </c>
      <c r="H2212" s="9">
        <v>40189</v>
      </c>
    </row>
    <row r="2213" spans="6:8">
      <c r="F2213">
        <v>30174</v>
      </c>
      <c r="G2213">
        <v>6464</v>
      </c>
      <c r="H2213" s="9">
        <v>40189</v>
      </c>
    </row>
    <row r="2214" spans="6:8">
      <c r="F2214">
        <v>30181</v>
      </c>
      <c r="G2214">
        <v>7078</v>
      </c>
      <c r="H2214" s="9">
        <v>40189</v>
      </c>
    </row>
    <row r="2215" spans="6:8">
      <c r="F2215">
        <v>30186</v>
      </c>
      <c r="G2215">
        <v>2278</v>
      </c>
      <c r="H2215" s="9">
        <v>40189</v>
      </c>
    </row>
    <row r="2216" spans="6:8">
      <c r="F2216">
        <v>30190</v>
      </c>
      <c r="G2216">
        <v>6617</v>
      </c>
      <c r="H2216" s="9">
        <v>40189</v>
      </c>
    </row>
    <row r="2217" spans="6:8">
      <c r="F2217">
        <v>30219</v>
      </c>
      <c r="G2217">
        <v>27</v>
      </c>
      <c r="H2217" s="9">
        <v>40189</v>
      </c>
    </row>
    <row r="2218" spans="6:8">
      <c r="F2218">
        <v>30227</v>
      </c>
      <c r="G2218">
        <v>5421</v>
      </c>
      <c r="H2218" s="9">
        <v>40189</v>
      </c>
    </row>
    <row r="2219" spans="6:8">
      <c r="F2219">
        <v>30234</v>
      </c>
      <c r="G2219">
        <v>7079</v>
      </c>
      <c r="H2219" s="9">
        <v>40190</v>
      </c>
    </row>
    <row r="2220" spans="6:8">
      <c r="F2220">
        <v>30254</v>
      </c>
      <c r="G2220">
        <v>6142</v>
      </c>
      <c r="H2220" s="9">
        <v>40190</v>
      </c>
    </row>
    <row r="2221" spans="6:8">
      <c r="F2221">
        <v>30266</v>
      </c>
      <c r="G2221">
        <v>1163</v>
      </c>
      <c r="H2221" s="9">
        <v>40190</v>
      </c>
    </row>
    <row r="2222" spans="6:8">
      <c r="F2222">
        <v>30267</v>
      </c>
      <c r="G2222">
        <v>1365</v>
      </c>
      <c r="H2222" s="9">
        <v>40190</v>
      </c>
    </row>
    <row r="2223" spans="6:8">
      <c r="F2223">
        <v>30269</v>
      </c>
      <c r="G2223">
        <v>6570</v>
      </c>
      <c r="H2223" s="9">
        <v>40190</v>
      </c>
    </row>
    <row r="2224" spans="6:8">
      <c r="F2224">
        <v>30303</v>
      </c>
      <c r="G2224">
        <v>5564</v>
      </c>
      <c r="H2224" s="9">
        <v>40192</v>
      </c>
    </row>
    <row r="2225" spans="6:8">
      <c r="F2225">
        <v>30311</v>
      </c>
      <c r="G2225">
        <v>5715</v>
      </c>
      <c r="H2225" s="9">
        <v>40192</v>
      </c>
    </row>
    <row r="2226" spans="6:8">
      <c r="F2226">
        <v>30313</v>
      </c>
      <c r="G2226">
        <v>3397</v>
      </c>
      <c r="H2226" s="9">
        <v>40192</v>
      </c>
    </row>
    <row r="2227" spans="6:8">
      <c r="F2227">
        <v>30314</v>
      </c>
      <c r="G2227">
        <v>7083</v>
      </c>
      <c r="H2227" s="9">
        <v>40192</v>
      </c>
    </row>
    <row r="2228" spans="6:8">
      <c r="F2228">
        <v>30317</v>
      </c>
      <c r="G2228">
        <v>7084</v>
      </c>
      <c r="H2228" s="9">
        <v>40192</v>
      </c>
    </row>
    <row r="2229" spans="6:8">
      <c r="F2229">
        <v>30339</v>
      </c>
      <c r="G2229">
        <v>1060</v>
      </c>
      <c r="H2229" s="9">
        <v>40192</v>
      </c>
    </row>
    <row r="2230" spans="6:8">
      <c r="F2230">
        <v>30341</v>
      </c>
      <c r="G2230">
        <v>911</v>
      </c>
      <c r="H2230" s="9">
        <v>40192</v>
      </c>
    </row>
    <row r="2231" spans="6:8">
      <c r="F2231">
        <v>30351</v>
      </c>
      <c r="G2231">
        <v>2223</v>
      </c>
      <c r="H2231" s="9">
        <v>40192</v>
      </c>
    </row>
    <row r="2232" spans="6:8">
      <c r="F2232">
        <v>30375</v>
      </c>
      <c r="G2232">
        <v>6162</v>
      </c>
      <c r="H2232" s="9">
        <v>40192</v>
      </c>
    </row>
    <row r="2233" spans="6:8">
      <c r="F2233">
        <v>30400</v>
      </c>
      <c r="G2233">
        <v>1427</v>
      </c>
      <c r="H2233" s="9">
        <v>40193</v>
      </c>
    </row>
    <row r="2234" spans="6:8">
      <c r="F2234">
        <v>30442</v>
      </c>
      <c r="G2234">
        <v>5966</v>
      </c>
      <c r="H2234" s="9">
        <v>40196</v>
      </c>
    </row>
    <row r="2235" spans="6:8">
      <c r="F2235">
        <v>30452</v>
      </c>
      <c r="G2235">
        <v>7085</v>
      </c>
      <c r="H2235" s="9">
        <v>40196</v>
      </c>
    </row>
    <row r="2236" spans="6:8">
      <c r="F2236">
        <v>30477</v>
      </c>
      <c r="G2236">
        <v>4067</v>
      </c>
      <c r="H2236" s="9">
        <v>40196</v>
      </c>
    </row>
    <row r="2237" spans="6:8">
      <c r="F2237">
        <v>30493</v>
      </c>
      <c r="G2237">
        <v>3399</v>
      </c>
      <c r="H2237" s="9">
        <v>40198</v>
      </c>
    </row>
    <row r="2238" spans="6:8">
      <c r="F2238">
        <v>30495</v>
      </c>
      <c r="G2238">
        <v>2644</v>
      </c>
      <c r="H2238" s="9">
        <v>40198</v>
      </c>
    </row>
    <row r="2239" spans="6:8">
      <c r="F2239">
        <v>30510</v>
      </c>
      <c r="G2239">
        <v>7087</v>
      </c>
      <c r="H2239" s="9">
        <v>40198</v>
      </c>
    </row>
    <row r="2240" spans="6:8">
      <c r="F2240">
        <v>30520</v>
      </c>
      <c r="G2240">
        <v>5093</v>
      </c>
      <c r="H2240" s="9">
        <v>40198</v>
      </c>
    </row>
    <row r="2241" spans="6:8">
      <c r="F2241">
        <v>30521</v>
      </c>
      <c r="G2241">
        <v>7088</v>
      </c>
      <c r="H2241" s="9">
        <v>40198</v>
      </c>
    </row>
    <row r="2242" spans="6:8">
      <c r="F2242">
        <v>30522</v>
      </c>
      <c r="G2242">
        <v>7089</v>
      </c>
      <c r="H2242" s="9">
        <v>40198</v>
      </c>
    </row>
    <row r="2243" spans="6:8">
      <c r="F2243">
        <v>30549</v>
      </c>
      <c r="G2243">
        <v>733</v>
      </c>
      <c r="H2243" s="9">
        <v>40200</v>
      </c>
    </row>
    <row r="2244" spans="6:8">
      <c r="F2244">
        <v>30572</v>
      </c>
      <c r="G2244">
        <v>4404</v>
      </c>
      <c r="H2244" s="9">
        <v>40200</v>
      </c>
    </row>
    <row r="2245" spans="6:8">
      <c r="F2245">
        <v>30603</v>
      </c>
      <c r="G2245">
        <v>4473</v>
      </c>
      <c r="H2245" s="9">
        <v>40200</v>
      </c>
    </row>
    <row r="2246" spans="6:8">
      <c r="F2246">
        <v>30608</v>
      </c>
      <c r="G2246">
        <v>3213</v>
      </c>
      <c r="H2246" s="9">
        <v>40200</v>
      </c>
    </row>
    <row r="2247" spans="6:8">
      <c r="F2247">
        <v>30615</v>
      </c>
      <c r="G2247">
        <v>1032</v>
      </c>
      <c r="H2247" s="9">
        <v>40200</v>
      </c>
    </row>
    <row r="2248" spans="6:8">
      <c r="F2248">
        <v>30652</v>
      </c>
      <c r="G2248">
        <v>1885</v>
      </c>
      <c r="H2248" s="9">
        <v>40201</v>
      </c>
    </row>
    <row r="2249" spans="6:8">
      <c r="F2249">
        <v>30666</v>
      </c>
      <c r="G2249">
        <v>2240</v>
      </c>
      <c r="H2249" s="9">
        <v>40201</v>
      </c>
    </row>
    <row r="2250" spans="6:8">
      <c r="F2250">
        <v>30715</v>
      </c>
      <c r="G2250">
        <v>4811</v>
      </c>
      <c r="H2250" s="9">
        <v>40203</v>
      </c>
    </row>
    <row r="2251" spans="6:8">
      <c r="F2251">
        <v>30733</v>
      </c>
      <c r="G2251">
        <v>2490</v>
      </c>
      <c r="H2251" s="9">
        <v>40203</v>
      </c>
    </row>
    <row r="2252" spans="6:8">
      <c r="F2252">
        <v>30734</v>
      </c>
      <c r="G2252">
        <v>7092</v>
      </c>
      <c r="H2252" s="9">
        <v>40203</v>
      </c>
    </row>
    <row r="2253" spans="6:8">
      <c r="F2253">
        <v>30736</v>
      </c>
      <c r="G2253">
        <v>2523</v>
      </c>
      <c r="H2253" s="9">
        <v>40203</v>
      </c>
    </row>
    <row r="2254" spans="6:8">
      <c r="F2254">
        <v>30742</v>
      </c>
      <c r="G2254">
        <v>4597</v>
      </c>
      <c r="H2254" s="9">
        <v>40203</v>
      </c>
    </row>
    <row r="2255" spans="6:8">
      <c r="F2255">
        <v>30752</v>
      </c>
      <c r="G2255">
        <v>4645</v>
      </c>
      <c r="H2255" s="9">
        <v>40203</v>
      </c>
    </row>
    <row r="2256" spans="6:8">
      <c r="F2256">
        <v>30810</v>
      </c>
      <c r="G2256">
        <v>1460</v>
      </c>
      <c r="H2256" s="9">
        <v>40205</v>
      </c>
    </row>
    <row r="2257" spans="6:8">
      <c r="F2257">
        <v>30840</v>
      </c>
      <c r="G2257">
        <v>625</v>
      </c>
      <c r="H2257" s="9">
        <v>40206</v>
      </c>
    </row>
    <row r="2258" spans="6:8">
      <c r="F2258">
        <v>30865</v>
      </c>
      <c r="G2258">
        <v>6213</v>
      </c>
      <c r="H2258" s="9">
        <v>40206</v>
      </c>
    </row>
    <row r="2259" spans="6:8">
      <c r="F2259">
        <v>30866</v>
      </c>
      <c r="G2259">
        <v>5386</v>
      </c>
      <c r="H2259" s="9">
        <v>40206</v>
      </c>
    </row>
    <row r="2260" spans="6:8">
      <c r="F2260">
        <v>30934</v>
      </c>
      <c r="G2260">
        <v>6668</v>
      </c>
      <c r="H2260" s="9">
        <v>40210</v>
      </c>
    </row>
    <row r="2261" spans="6:8">
      <c r="F2261">
        <v>30947</v>
      </c>
      <c r="G2261">
        <v>5305</v>
      </c>
      <c r="H2261" s="9">
        <v>40210</v>
      </c>
    </row>
    <row r="2262" spans="6:8">
      <c r="F2262">
        <v>30983</v>
      </c>
      <c r="G2262">
        <v>32</v>
      </c>
      <c r="H2262" s="9">
        <v>40210</v>
      </c>
    </row>
    <row r="2263" spans="6:8">
      <c r="F2263">
        <v>30994</v>
      </c>
      <c r="G2263">
        <v>1569</v>
      </c>
      <c r="H2263" s="9">
        <v>40210</v>
      </c>
    </row>
    <row r="2264" spans="6:8">
      <c r="F2264">
        <v>31042</v>
      </c>
      <c r="G2264">
        <v>3684</v>
      </c>
      <c r="H2264" s="9">
        <v>40211</v>
      </c>
    </row>
    <row r="2265" spans="6:8">
      <c r="F2265">
        <v>31043</v>
      </c>
      <c r="G2265">
        <v>3679</v>
      </c>
      <c r="H2265" s="9">
        <v>40211</v>
      </c>
    </row>
    <row r="2266" spans="6:8">
      <c r="F2266">
        <v>31075</v>
      </c>
      <c r="G2266">
        <v>5420</v>
      </c>
      <c r="H2266" s="9">
        <v>40212</v>
      </c>
    </row>
    <row r="2267" spans="6:8">
      <c r="F2267">
        <v>31080</v>
      </c>
      <c r="G2267">
        <v>2340</v>
      </c>
      <c r="H2267" s="9">
        <v>40212</v>
      </c>
    </row>
    <row r="2268" spans="6:8">
      <c r="F2268">
        <v>31089</v>
      </c>
      <c r="G2268">
        <v>3471</v>
      </c>
      <c r="H2268" s="9">
        <v>40212</v>
      </c>
    </row>
    <row r="2269" spans="6:8">
      <c r="F2269">
        <v>31096</v>
      </c>
      <c r="G2269">
        <v>7123</v>
      </c>
      <c r="H2269" s="9">
        <v>39572</v>
      </c>
    </row>
    <row r="2270" spans="6:8">
      <c r="F2270">
        <v>31098</v>
      </c>
      <c r="G2270">
        <v>7122</v>
      </c>
      <c r="H2270" s="9">
        <v>39760</v>
      </c>
    </row>
    <row r="2271" spans="6:8">
      <c r="F2271">
        <v>31123</v>
      </c>
      <c r="G2271">
        <v>746</v>
      </c>
      <c r="H2271" s="9">
        <v>40213</v>
      </c>
    </row>
    <row r="2272" spans="6:8">
      <c r="F2272">
        <v>31126</v>
      </c>
      <c r="G2272">
        <v>1070</v>
      </c>
      <c r="H2272" s="9">
        <v>40213</v>
      </c>
    </row>
    <row r="2273" spans="6:8">
      <c r="F2273">
        <v>31131</v>
      </c>
      <c r="G2273">
        <v>3451</v>
      </c>
      <c r="H2273" s="9">
        <v>40213</v>
      </c>
    </row>
    <row r="2274" spans="6:8">
      <c r="F2274">
        <v>31163</v>
      </c>
      <c r="G2274">
        <v>5237</v>
      </c>
      <c r="H2274" s="9">
        <v>40214</v>
      </c>
    </row>
    <row r="2275" spans="6:8">
      <c r="F2275">
        <v>31203</v>
      </c>
      <c r="G2275">
        <v>7127</v>
      </c>
      <c r="H2275" s="9">
        <v>40217</v>
      </c>
    </row>
    <row r="2276" spans="6:8">
      <c r="F2276">
        <v>31207</v>
      </c>
      <c r="G2276">
        <v>581</v>
      </c>
      <c r="H2276" s="9">
        <v>40218</v>
      </c>
    </row>
    <row r="2277" spans="6:8">
      <c r="F2277">
        <v>31279</v>
      </c>
      <c r="G2277">
        <v>4045</v>
      </c>
      <c r="H2277" s="9">
        <v>40220</v>
      </c>
    </row>
    <row r="2278" spans="6:8">
      <c r="F2278">
        <v>31286</v>
      </c>
      <c r="G2278">
        <v>3030</v>
      </c>
      <c r="H2278" s="9">
        <v>40226</v>
      </c>
    </row>
    <row r="2279" spans="6:8">
      <c r="F2279">
        <v>31319</v>
      </c>
      <c r="G2279">
        <v>7147</v>
      </c>
      <c r="H2279" s="9">
        <v>40227</v>
      </c>
    </row>
    <row r="2280" spans="6:8">
      <c r="F2280">
        <v>31337</v>
      </c>
      <c r="G2280">
        <v>3008</v>
      </c>
      <c r="H2280" s="9">
        <v>40220</v>
      </c>
    </row>
    <row r="2281" spans="6:8">
      <c r="F2281">
        <v>31450</v>
      </c>
      <c r="G2281">
        <v>4969</v>
      </c>
      <c r="H2281" s="9">
        <v>40227</v>
      </c>
    </row>
    <row r="2282" spans="6:8">
      <c r="F2282">
        <v>31454</v>
      </c>
      <c r="G2282">
        <v>4956</v>
      </c>
      <c r="H2282" s="9">
        <v>40227</v>
      </c>
    </row>
    <row r="2283" spans="6:8">
      <c r="F2283">
        <v>31480</v>
      </c>
      <c r="G2283">
        <v>4038</v>
      </c>
      <c r="H2283" s="9">
        <v>40226</v>
      </c>
    </row>
    <row r="2284" spans="6:8">
      <c r="F2284">
        <v>31484</v>
      </c>
      <c r="G2284">
        <v>7180</v>
      </c>
      <c r="H2284" s="9">
        <v>40219</v>
      </c>
    </row>
    <row r="2285" spans="6:8">
      <c r="F2285">
        <v>31488</v>
      </c>
      <c r="G2285">
        <v>7181</v>
      </c>
      <c r="H2285" s="9">
        <v>40220</v>
      </c>
    </row>
    <row r="2286" spans="6:8">
      <c r="F2286">
        <v>31494</v>
      </c>
      <c r="G2286">
        <v>6704</v>
      </c>
      <c r="H2286" s="9">
        <v>40213</v>
      </c>
    </row>
    <row r="2287" spans="6:8">
      <c r="F2287">
        <v>31498</v>
      </c>
      <c r="G2287">
        <v>6216</v>
      </c>
      <c r="H2287" s="9">
        <v>40213</v>
      </c>
    </row>
    <row r="2288" spans="6:8">
      <c r="F2288">
        <v>31499</v>
      </c>
      <c r="G2288">
        <v>4609</v>
      </c>
      <c r="H2288" s="9">
        <v>40213</v>
      </c>
    </row>
    <row r="2289" spans="6:8">
      <c r="F2289">
        <v>31511</v>
      </c>
      <c r="G2289">
        <v>7184</v>
      </c>
      <c r="H2289" s="9">
        <v>40221</v>
      </c>
    </row>
    <row r="2290" spans="6:8">
      <c r="F2290">
        <v>31570</v>
      </c>
      <c r="G2290">
        <v>6690</v>
      </c>
      <c r="H2290" s="9">
        <v>40226</v>
      </c>
    </row>
    <row r="2291" spans="6:8">
      <c r="F2291">
        <v>31573</v>
      </c>
      <c r="G2291">
        <v>6590</v>
      </c>
      <c r="H2291" s="9">
        <v>40231</v>
      </c>
    </row>
    <row r="2292" spans="6:8">
      <c r="F2292">
        <v>31574</v>
      </c>
      <c r="G2292">
        <v>6590</v>
      </c>
      <c r="H2292" s="9">
        <v>40231</v>
      </c>
    </row>
    <row r="2293" spans="6:8">
      <c r="F2293">
        <v>31575</v>
      </c>
      <c r="G2293">
        <v>7185</v>
      </c>
      <c r="H2293" s="9">
        <v>40226</v>
      </c>
    </row>
    <row r="2294" spans="6:8">
      <c r="F2294">
        <v>31596</v>
      </c>
      <c r="G2294">
        <v>1251</v>
      </c>
      <c r="H2294" s="9">
        <v>40226</v>
      </c>
    </row>
    <row r="2295" spans="6:8">
      <c r="F2295">
        <v>31597</v>
      </c>
      <c r="G2295">
        <v>6896</v>
      </c>
      <c r="H2295" s="9">
        <v>40226</v>
      </c>
    </row>
    <row r="2296" spans="6:8">
      <c r="F2296">
        <v>31613</v>
      </c>
      <c r="G2296">
        <v>3884</v>
      </c>
      <c r="H2296" s="9">
        <v>40226</v>
      </c>
    </row>
    <row r="2297" spans="6:8">
      <c r="F2297">
        <v>31615</v>
      </c>
      <c r="G2297">
        <v>1255</v>
      </c>
      <c r="H2297" s="9">
        <v>40229</v>
      </c>
    </row>
    <row r="2298" spans="6:8">
      <c r="F2298">
        <v>31616</v>
      </c>
      <c r="G2298">
        <v>1255</v>
      </c>
      <c r="H2298" s="9">
        <v>40229</v>
      </c>
    </row>
    <row r="2299" spans="6:8">
      <c r="F2299">
        <v>31620</v>
      </c>
      <c r="G2299">
        <v>5573</v>
      </c>
      <c r="H2299" s="9">
        <v>40229</v>
      </c>
    </row>
    <row r="2300" spans="6:8">
      <c r="F2300">
        <v>31625</v>
      </c>
      <c r="G2300">
        <v>5912</v>
      </c>
      <c r="H2300" s="9">
        <v>40229</v>
      </c>
    </row>
    <row r="2301" spans="6:8">
      <c r="F2301">
        <v>31626</v>
      </c>
      <c r="G2301">
        <v>2669</v>
      </c>
      <c r="H2301" s="9">
        <v>40220</v>
      </c>
    </row>
    <row r="2302" spans="6:8">
      <c r="F2302">
        <v>31627</v>
      </c>
      <c r="G2302">
        <v>2761</v>
      </c>
      <c r="H2302" s="9">
        <v>40220</v>
      </c>
    </row>
    <row r="2303" spans="6:8">
      <c r="F2303">
        <v>31657</v>
      </c>
      <c r="G2303">
        <v>429</v>
      </c>
      <c r="H2303" s="9">
        <v>40218</v>
      </c>
    </row>
    <row r="2304" spans="6:8">
      <c r="F2304">
        <v>31661</v>
      </c>
      <c r="G2304">
        <v>2103</v>
      </c>
      <c r="H2304" s="9">
        <v>40218</v>
      </c>
    </row>
    <row r="2305" spans="6:8">
      <c r="F2305">
        <v>31665</v>
      </c>
      <c r="G2305">
        <v>1725</v>
      </c>
      <c r="H2305" s="9">
        <v>40218</v>
      </c>
    </row>
    <row r="2306" spans="6:8">
      <c r="F2306">
        <v>31671</v>
      </c>
      <c r="G2306">
        <v>7188</v>
      </c>
      <c r="H2306" s="9">
        <v>40232</v>
      </c>
    </row>
    <row r="2307" spans="6:8">
      <c r="F2307">
        <v>31672</v>
      </c>
      <c r="G2307">
        <v>7189</v>
      </c>
      <c r="H2307" s="9">
        <v>40232</v>
      </c>
    </row>
    <row r="2308" spans="6:8">
      <c r="F2308">
        <v>31771</v>
      </c>
      <c r="G2308">
        <v>2184</v>
      </c>
      <c r="H2308" s="9">
        <v>40233</v>
      </c>
    </row>
    <row r="2309" spans="6:8">
      <c r="F2309">
        <v>31788</v>
      </c>
      <c r="G2309">
        <v>1575</v>
      </c>
      <c r="H2309" s="9">
        <v>40233</v>
      </c>
    </row>
    <row r="2310" spans="6:8">
      <c r="F2310">
        <v>31843</v>
      </c>
      <c r="G2310">
        <v>1466</v>
      </c>
      <c r="H2310" s="9">
        <v>40235</v>
      </c>
    </row>
    <row r="2311" spans="6:8">
      <c r="F2311">
        <v>31849</v>
      </c>
      <c r="G2311">
        <v>1883</v>
      </c>
      <c r="H2311" s="9">
        <v>40235</v>
      </c>
    </row>
    <row r="2312" spans="6:8">
      <c r="F2312">
        <v>31855</v>
      </c>
      <c r="G2312">
        <v>6629</v>
      </c>
      <c r="H2312" s="9">
        <v>40235</v>
      </c>
    </row>
    <row r="2313" spans="6:8">
      <c r="F2313">
        <v>31867</v>
      </c>
      <c r="G2313">
        <v>6079</v>
      </c>
      <c r="H2313" s="9">
        <v>40237</v>
      </c>
    </row>
    <row r="2314" spans="6:8">
      <c r="F2314">
        <v>31869</v>
      </c>
      <c r="G2314">
        <v>2025</v>
      </c>
      <c r="H2314" s="9">
        <v>40237</v>
      </c>
    </row>
    <row r="2315" spans="6:8">
      <c r="F2315">
        <v>31875</v>
      </c>
      <c r="G2315">
        <v>3676</v>
      </c>
      <c r="H2315" s="9">
        <v>40237</v>
      </c>
    </row>
    <row r="2316" spans="6:8">
      <c r="F2316">
        <v>31945</v>
      </c>
      <c r="G2316">
        <v>895</v>
      </c>
      <c r="H2316" s="9">
        <v>40238</v>
      </c>
    </row>
    <row r="2317" spans="6:8">
      <c r="F2317">
        <v>31966</v>
      </c>
      <c r="G2317">
        <v>3770</v>
      </c>
      <c r="H2317" s="9">
        <v>40238</v>
      </c>
    </row>
    <row r="2318" spans="6:8">
      <c r="F2318">
        <v>31974</v>
      </c>
      <c r="G2318">
        <v>1868</v>
      </c>
      <c r="H2318" s="9">
        <v>40238</v>
      </c>
    </row>
    <row r="2319" spans="6:8">
      <c r="F2319">
        <v>31977</v>
      </c>
      <c r="G2319">
        <v>6719</v>
      </c>
      <c r="H2319" s="9">
        <v>40238</v>
      </c>
    </row>
    <row r="2320" spans="6:8">
      <c r="F2320">
        <v>31997</v>
      </c>
      <c r="G2320">
        <v>5215</v>
      </c>
      <c r="H2320" s="9">
        <v>40239</v>
      </c>
    </row>
    <row r="2321" spans="6:8">
      <c r="F2321">
        <v>32037</v>
      </c>
      <c r="G2321">
        <v>5705</v>
      </c>
      <c r="H2321" s="9">
        <v>40239</v>
      </c>
    </row>
    <row r="2322" spans="6:8">
      <c r="F2322">
        <v>32039</v>
      </c>
      <c r="G2322">
        <v>3707</v>
      </c>
      <c r="H2322" s="9">
        <v>40239</v>
      </c>
    </row>
    <row r="2323" spans="6:8">
      <c r="F2323">
        <v>32041</v>
      </c>
      <c r="G2323">
        <v>5376</v>
      </c>
      <c r="H2323" s="9">
        <v>40239</v>
      </c>
    </row>
    <row r="2324" spans="6:8">
      <c r="F2324">
        <v>32042</v>
      </c>
      <c r="G2324">
        <v>4709</v>
      </c>
      <c r="H2324" s="9">
        <v>40239</v>
      </c>
    </row>
    <row r="2325" spans="6:8">
      <c r="F2325">
        <v>32048</v>
      </c>
      <c r="G2325">
        <v>4865</v>
      </c>
      <c r="H2325" s="9">
        <v>40240</v>
      </c>
    </row>
    <row r="2326" spans="6:8">
      <c r="F2326">
        <v>32056</v>
      </c>
      <c r="G2326">
        <v>2434</v>
      </c>
      <c r="H2326" s="9">
        <v>40240</v>
      </c>
    </row>
    <row r="2327" spans="6:8">
      <c r="F2327">
        <v>32062</v>
      </c>
      <c r="G2327">
        <v>767</v>
      </c>
      <c r="H2327" s="9">
        <v>40240</v>
      </c>
    </row>
    <row r="2328" spans="6:8">
      <c r="F2328">
        <v>32074</v>
      </c>
      <c r="G2328">
        <v>6237</v>
      </c>
      <c r="H2328" s="9">
        <v>40240</v>
      </c>
    </row>
    <row r="2329" spans="6:8">
      <c r="F2329">
        <v>32089</v>
      </c>
      <c r="G2329">
        <v>6872</v>
      </c>
      <c r="H2329" s="9">
        <v>40240</v>
      </c>
    </row>
    <row r="2330" spans="6:8">
      <c r="F2330">
        <v>32093</v>
      </c>
      <c r="G2330">
        <v>1356</v>
      </c>
      <c r="H2330" s="9">
        <v>40240</v>
      </c>
    </row>
    <row r="2331" spans="6:8">
      <c r="F2331">
        <v>32096</v>
      </c>
      <c r="G2331">
        <v>3477</v>
      </c>
      <c r="H2331" s="9">
        <v>40240</v>
      </c>
    </row>
    <row r="2332" spans="6:8">
      <c r="F2332">
        <v>32134</v>
      </c>
      <c r="G2332">
        <v>7210</v>
      </c>
      <c r="H2332" s="9">
        <v>40243</v>
      </c>
    </row>
    <row r="2333" spans="6:8">
      <c r="F2333">
        <v>32135</v>
      </c>
      <c r="G2333">
        <v>7211</v>
      </c>
      <c r="H2333" s="9">
        <v>40243</v>
      </c>
    </row>
    <row r="2334" spans="6:8">
      <c r="F2334">
        <v>32154</v>
      </c>
      <c r="G2334">
        <v>1809</v>
      </c>
      <c r="H2334" s="9">
        <v>40244</v>
      </c>
    </row>
    <row r="2335" spans="6:8">
      <c r="F2335">
        <v>32158</v>
      </c>
      <c r="G2335">
        <v>2096</v>
      </c>
      <c r="H2335" s="9">
        <v>40244</v>
      </c>
    </row>
    <row r="2336" spans="6:8">
      <c r="F2336">
        <v>32187</v>
      </c>
      <c r="G2336">
        <v>3538</v>
      </c>
      <c r="H2336" s="9">
        <v>40245</v>
      </c>
    </row>
    <row r="2337" spans="6:8">
      <c r="F2337">
        <v>32215</v>
      </c>
      <c r="G2337">
        <v>2919</v>
      </c>
      <c r="H2337" s="9">
        <v>40245</v>
      </c>
    </row>
    <row r="2338" spans="6:8">
      <c r="F2338">
        <v>32233</v>
      </c>
      <c r="G2338">
        <v>815</v>
      </c>
      <c r="H2338" s="9">
        <v>40246</v>
      </c>
    </row>
    <row r="2339" spans="6:8">
      <c r="F2339">
        <v>32234</v>
      </c>
      <c r="G2339">
        <v>1864</v>
      </c>
      <c r="H2339" s="9">
        <v>40246</v>
      </c>
    </row>
    <row r="2340" spans="6:8">
      <c r="F2340">
        <v>32238</v>
      </c>
      <c r="G2340">
        <v>6505</v>
      </c>
      <c r="H2340" s="9">
        <v>40246</v>
      </c>
    </row>
    <row r="2341" spans="6:8">
      <c r="F2341">
        <v>32241</v>
      </c>
      <c r="G2341">
        <v>1190</v>
      </c>
      <c r="H2341" s="9">
        <v>40246</v>
      </c>
    </row>
    <row r="2342" spans="6:8">
      <c r="F2342">
        <v>32320</v>
      </c>
      <c r="G2342">
        <v>802</v>
      </c>
      <c r="H2342" s="9">
        <v>40250</v>
      </c>
    </row>
    <row r="2343" spans="6:8">
      <c r="F2343">
        <v>32325</v>
      </c>
      <c r="G2343">
        <v>1916</v>
      </c>
      <c r="H2343" s="9">
        <v>40250</v>
      </c>
    </row>
    <row r="2344" spans="6:8">
      <c r="F2344">
        <v>32330</v>
      </c>
      <c r="G2344">
        <v>7215</v>
      </c>
      <c r="H2344" s="9">
        <v>40250</v>
      </c>
    </row>
    <row r="2345" spans="6:8">
      <c r="F2345">
        <v>32379</v>
      </c>
      <c r="G2345">
        <v>7223</v>
      </c>
      <c r="H2345" s="9">
        <v>40251</v>
      </c>
    </row>
    <row r="2346" spans="6:8">
      <c r="F2346">
        <v>32401</v>
      </c>
      <c r="G2346">
        <v>4301</v>
      </c>
      <c r="H2346" s="9">
        <v>40251</v>
      </c>
    </row>
    <row r="2347" spans="6:8">
      <c r="F2347">
        <v>32447</v>
      </c>
      <c r="G2347">
        <v>2386</v>
      </c>
      <c r="H2347" s="9">
        <v>40251</v>
      </c>
    </row>
    <row r="2348" spans="6:8">
      <c r="F2348">
        <v>32496</v>
      </c>
      <c r="G2348">
        <v>7234</v>
      </c>
      <c r="H2348" s="9">
        <v>40252</v>
      </c>
    </row>
    <row r="2349" spans="6:8">
      <c r="F2349">
        <v>32515</v>
      </c>
      <c r="G2349">
        <v>7235</v>
      </c>
      <c r="H2349" s="9">
        <v>40252</v>
      </c>
    </row>
    <row r="2350" spans="6:8">
      <c r="F2350">
        <v>32516</v>
      </c>
      <c r="G2350">
        <v>7236</v>
      </c>
      <c r="H2350" s="9">
        <v>40254</v>
      </c>
    </row>
    <row r="2351" spans="6:8">
      <c r="F2351">
        <v>32517</v>
      </c>
      <c r="G2351">
        <v>4020</v>
      </c>
      <c r="H2351" s="9">
        <v>40253</v>
      </c>
    </row>
    <row r="2352" spans="6:8">
      <c r="F2352">
        <v>32524</v>
      </c>
      <c r="G2352">
        <v>1751</v>
      </c>
      <c r="H2352" s="9">
        <v>40253</v>
      </c>
    </row>
    <row r="2353" spans="6:8">
      <c r="F2353">
        <v>32539</v>
      </c>
      <c r="G2353">
        <v>1537</v>
      </c>
      <c r="H2353" s="9">
        <v>40253</v>
      </c>
    </row>
    <row r="2354" spans="6:8">
      <c r="F2354">
        <v>32640</v>
      </c>
      <c r="G2354">
        <v>1683</v>
      </c>
      <c r="H2354" s="9">
        <v>40258</v>
      </c>
    </row>
    <row r="2355" spans="6:8">
      <c r="F2355">
        <v>32662</v>
      </c>
      <c r="G2355">
        <v>6696</v>
      </c>
      <c r="H2355" s="9">
        <v>40258</v>
      </c>
    </row>
    <row r="2356" spans="6:8">
      <c r="F2356">
        <v>32665</v>
      </c>
      <c r="G2356">
        <v>7013</v>
      </c>
      <c r="H2356" s="9">
        <v>40258</v>
      </c>
    </row>
    <row r="2357" spans="6:8">
      <c r="F2357">
        <v>32684</v>
      </c>
      <c r="G2357">
        <v>6215</v>
      </c>
      <c r="H2357" s="9">
        <v>40258</v>
      </c>
    </row>
    <row r="2358" spans="6:8">
      <c r="F2358">
        <v>32693</v>
      </c>
      <c r="G2358">
        <v>2550</v>
      </c>
      <c r="H2358" s="9">
        <v>40258</v>
      </c>
    </row>
    <row r="2359" spans="6:8">
      <c r="F2359">
        <v>32698</v>
      </c>
      <c r="G2359">
        <v>5375</v>
      </c>
      <c r="H2359" s="9">
        <v>40258</v>
      </c>
    </row>
    <row r="2360" spans="6:8">
      <c r="F2360">
        <v>32704</v>
      </c>
      <c r="G2360">
        <v>2676</v>
      </c>
      <c r="H2360" s="9">
        <v>40258</v>
      </c>
    </row>
    <row r="2361" spans="6:8">
      <c r="F2361">
        <v>32717</v>
      </c>
      <c r="G2361">
        <v>7252</v>
      </c>
      <c r="H2361" s="9">
        <v>40259</v>
      </c>
    </row>
    <row r="2362" spans="6:8">
      <c r="F2362">
        <v>32718</v>
      </c>
      <c r="G2362">
        <v>7253</v>
      </c>
      <c r="H2362" s="9">
        <v>40259</v>
      </c>
    </row>
    <row r="2363" spans="6:8">
      <c r="F2363">
        <v>32726</v>
      </c>
      <c r="G2363">
        <v>7241</v>
      </c>
      <c r="H2363" s="9">
        <v>40259</v>
      </c>
    </row>
    <row r="2364" spans="6:8">
      <c r="F2364">
        <v>32733</v>
      </c>
      <c r="G2364">
        <v>7259</v>
      </c>
      <c r="H2364" s="9">
        <v>40260</v>
      </c>
    </row>
    <row r="2365" spans="6:8">
      <c r="F2365">
        <v>32737</v>
      </c>
      <c r="G2365">
        <v>7260</v>
      </c>
      <c r="H2365" s="9">
        <v>40260</v>
      </c>
    </row>
    <row r="2366" spans="6:8">
      <c r="F2366">
        <v>32738</v>
      </c>
      <c r="G2366">
        <v>7261</v>
      </c>
      <c r="H2366" s="9">
        <v>40260</v>
      </c>
    </row>
    <row r="2367" spans="6:8">
      <c r="F2367">
        <v>32742</v>
      </c>
      <c r="G2367">
        <v>7263</v>
      </c>
      <c r="H2367" s="9">
        <v>40260</v>
      </c>
    </row>
    <row r="2368" spans="6:8">
      <c r="F2368">
        <v>32743</v>
      </c>
      <c r="G2368">
        <v>7264</v>
      </c>
      <c r="H2368" s="9">
        <v>40260</v>
      </c>
    </row>
    <row r="2369" spans="6:8">
      <c r="F2369">
        <v>32747</v>
      </c>
      <c r="G2369">
        <v>7266</v>
      </c>
      <c r="H2369" s="9">
        <v>40260</v>
      </c>
    </row>
    <row r="2370" spans="6:8">
      <c r="F2370">
        <v>32792</v>
      </c>
      <c r="G2370">
        <v>5272</v>
      </c>
      <c r="H2370" s="9">
        <v>40261</v>
      </c>
    </row>
    <row r="2371" spans="6:8">
      <c r="F2371">
        <v>32808</v>
      </c>
      <c r="G2371">
        <v>1352</v>
      </c>
      <c r="H2371" s="9">
        <v>40261</v>
      </c>
    </row>
    <row r="2372" spans="6:8">
      <c r="F2372">
        <v>32813</v>
      </c>
      <c r="G2372">
        <v>3476</v>
      </c>
      <c r="H2372" s="9">
        <v>40261</v>
      </c>
    </row>
    <row r="2373" spans="6:8">
      <c r="F2373">
        <v>32820</v>
      </c>
      <c r="G2373">
        <v>3854</v>
      </c>
      <c r="H2373" s="9">
        <v>40261</v>
      </c>
    </row>
    <row r="2374" spans="6:8">
      <c r="F2374">
        <v>32836</v>
      </c>
      <c r="G2374">
        <v>218</v>
      </c>
      <c r="H2374" s="9">
        <v>40262</v>
      </c>
    </row>
    <row r="2375" spans="6:8">
      <c r="F2375">
        <v>32855</v>
      </c>
      <c r="G2375">
        <v>4281</v>
      </c>
      <c r="H2375" s="9">
        <v>40264</v>
      </c>
    </row>
    <row r="2376" spans="6:8">
      <c r="F2376">
        <v>32866</v>
      </c>
      <c r="G2376">
        <v>5734</v>
      </c>
      <c r="H2376" s="9">
        <v>40264</v>
      </c>
    </row>
    <row r="2377" spans="6:8">
      <c r="F2377">
        <v>32872</v>
      </c>
      <c r="G2377">
        <v>6121</v>
      </c>
      <c r="H2377" s="9">
        <v>40264</v>
      </c>
    </row>
    <row r="2378" spans="6:8">
      <c r="F2378">
        <v>32878</v>
      </c>
      <c r="G2378">
        <v>4489</v>
      </c>
      <c r="H2378" s="9">
        <v>40265</v>
      </c>
    </row>
    <row r="2379" spans="6:8">
      <c r="F2379">
        <v>32884</v>
      </c>
      <c r="G2379">
        <v>7275</v>
      </c>
      <c r="H2379" s="9">
        <v>40265</v>
      </c>
    </row>
    <row r="2380" spans="6:8">
      <c r="F2380">
        <v>32891</v>
      </c>
      <c r="G2380">
        <v>6132</v>
      </c>
      <c r="H2380" s="9">
        <v>40265</v>
      </c>
    </row>
    <row r="2381" spans="6:8">
      <c r="F2381">
        <v>32898</v>
      </c>
      <c r="G2381">
        <v>2638</v>
      </c>
      <c r="H2381" s="9">
        <v>40265</v>
      </c>
    </row>
    <row r="2382" spans="6:8">
      <c r="F2382">
        <v>32905</v>
      </c>
      <c r="G2382">
        <v>718</v>
      </c>
      <c r="H2382" s="9">
        <v>40265</v>
      </c>
    </row>
    <row r="2383" spans="6:8">
      <c r="F2383">
        <v>32912</v>
      </c>
      <c r="G2383">
        <v>2304</v>
      </c>
      <c r="H2383" s="9">
        <v>40265</v>
      </c>
    </row>
    <row r="2384" spans="6:8">
      <c r="F2384">
        <v>32921</v>
      </c>
      <c r="G2384">
        <v>94</v>
      </c>
      <c r="H2384" s="9">
        <v>40265</v>
      </c>
    </row>
    <row r="2385" spans="6:8">
      <c r="F2385">
        <v>32942</v>
      </c>
      <c r="G2385">
        <v>4943</v>
      </c>
      <c r="H2385" s="9">
        <v>40266</v>
      </c>
    </row>
    <row r="2386" spans="6:8">
      <c r="F2386">
        <v>32943</v>
      </c>
      <c r="G2386">
        <v>7276</v>
      </c>
      <c r="H2386" s="9">
        <v>40266</v>
      </c>
    </row>
    <row r="2387" spans="6:8">
      <c r="F2387">
        <v>32948</v>
      </c>
      <c r="G2387">
        <v>2882</v>
      </c>
      <c r="H2387" s="9">
        <v>40266</v>
      </c>
    </row>
    <row r="2388" spans="6:8">
      <c r="F2388">
        <v>32957</v>
      </c>
      <c r="G2388">
        <v>1139</v>
      </c>
      <c r="H2388" s="9">
        <v>40266</v>
      </c>
    </row>
    <row r="2389" spans="6:8">
      <c r="F2389">
        <v>32970</v>
      </c>
      <c r="G2389">
        <v>1721</v>
      </c>
      <c r="H2389" s="9">
        <v>40267</v>
      </c>
    </row>
    <row r="2390" spans="6:8">
      <c r="F2390">
        <v>32978</v>
      </c>
      <c r="G2390">
        <v>6150</v>
      </c>
      <c r="H2390" s="9">
        <v>40267</v>
      </c>
    </row>
    <row r="2391" spans="6:8">
      <c r="F2391">
        <v>32980</v>
      </c>
      <c r="G2391">
        <v>5807</v>
      </c>
      <c r="H2391" s="9">
        <v>40267</v>
      </c>
    </row>
    <row r="2392" spans="6:8">
      <c r="F2392">
        <v>32982</v>
      </c>
      <c r="G2392">
        <v>3118</v>
      </c>
      <c r="H2392" s="9">
        <v>40267</v>
      </c>
    </row>
    <row r="2393" spans="6:8">
      <c r="F2393">
        <v>33029</v>
      </c>
      <c r="G2393">
        <v>2249</v>
      </c>
      <c r="H2393" s="9">
        <v>40268</v>
      </c>
    </row>
    <row r="2394" spans="6:8">
      <c r="F2394">
        <v>33033</v>
      </c>
      <c r="G2394">
        <v>1903</v>
      </c>
      <c r="H2394" s="9">
        <v>40268</v>
      </c>
    </row>
    <row r="2395" spans="6:8">
      <c r="F2395">
        <v>33034</v>
      </c>
      <c r="G2395">
        <v>1675</v>
      </c>
      <c r="H2395" s="9">
        <v>40268</v>
      </c>
    </row>
    <row r="2396" spans="6:8">
      <c r="F2396">
        <v>33044</v>
      </c>
      <c r="G2396">
        <v>2599</v>
      </c>
      <c r="H2396" s="9">
        <v>40271</v>
      </c>
    </row>
    <row r="2397" spans="6:8">
      <c r="F2397">
        <v>33068</v>
      </c>
      <c r="G2397">
        <v>4872</v>
      </c>
      <c r="H2397" s="9">
        <v>40271</v>
      </c>
    </row>
    <row r="2398" spans="6:8">
      <c r="F2398">
        <v>33069</v>
      </c>
      <c r="G2398">
        <v>5695</v>
      </c>
      <c r="H2398" s="9">
        <v>40271</v>
      </c>
    </row>
    <row r="2399" spans="6:8">
      <c r="F2399">
        <v>33070</v>
      </c>
      <c r="G2399">
        <v>2679</v>
      </c>
      <c r="H2399" s="9">
        <v>40272</v>
      </c>
    </row>
    <row r="2400" spans="6:8">
      <c r="F2400">
        <v>33071</v>
      </c>
      <c r="G2400">
        <v>2679</v>
      </c>
      <c r="H2400" s="9">
        <v>40272</v>
      </c>
    </row>
    <row r="2401" spans="6:8">
      <c r="F2401">
        <v>33085</v>
      </c>
      <c r="G2401">
        <v>4939</v>
      </c>
      <c r="H2401" s="9">
        <v>40271</v>
      </c>
    </row>
    <row r="2402" spans="6:8">
      <c r="F2402">
        <v>33086</v>
      </c>
      <c r="G2402">
        <v>4222</v>
      </c>
      <c r="H2402" s="9">
        <v>40271</v>
      </c>
    </row>
    <row r="2403" spans="6:8">
      <c r="F2403">
        <v>33116</v>
      </c>
      <c r="G2403">
        <v>467</v>
      </c>
      <c r="H2403" s="9">
        <v>40272</v>
      </c>
    </row>
    <row r="2404" spans="6:8">
      <c r="F2404">
        <v>33142</v>
      </c>
      <c r="G2404">
        <v>4868</v>
      </c>
      <c r="H2404" s="9">
        <v>40274</v>
      </c>
    </row>
    <row r="2405" spans="6:8">
      <c r="F2405">
        <v>33157</v>
      </c>
      <c r="G2405">
        <v>6688</v>
      </c>
      <c r="H2405" s="9">
        <v>40274</v>
      </c>
    </row>
    <row r="2406" spans="6:8">
      <c r="F2406">
        <v>33163</v>
      </c>
      <c r="G2406">
        <v>6339</v>
      </c>
      <c r="H2406" s="9">
        <v>40274</v>
      </c>
    </row>
    <row r="2407" spans="6:8">
      <c r="F2407">
        <v>33193</v>
      </c>
      <c r="G2407">
        <v>6563</v>
      </c>
      <c r="H2407" s="9">
        <v>40274</v>
      </c>
    </row>
    <row r="2408" spans="6:8">
      <c r="F2408">
        <v>33199</v>
      </c>
      <c r="G2408">
        <v>2692</v>
      </c>
      <c r="H2408" s="9">
        <v>40274</v>
      </c>
    </row>
    <row r="2409" spans="6:8">
      <c r="F2409">
        <v>33238</v>
      </c>
      <c r="G2409">
        <v>7310</v>
      </c>
      <c r="H2409" s="9">
        <v>40275</v>
      </c>
    </row>
    <row r="2410" spans="6:8">
      <c r="F2410">
        <v>33265</v>
      </c>
      <c r="G2410">
        <v>1970</v>
      </c>
      <c r="H2410" s="9">
        <v>40275</v>
      </c>
    </row>
    <row r="2411" spans="6:8">
      <c r="F2411">
        <v>33409</v>
      </c>
      <c r="G2411">
        <v>1754</v>
      </c>
      <c r="H2411" s="9">
        <v>40281</v>
      </c>
    </row>
    <row r="2412" spans="6:8">
      <c r="F2412">
        <v>33422</v>
      </c>
      <c r="G2412">
        <v>531</v>
      </c>
      <c r="H2412" s="9">
        <v>40281</v>
      </c>
    </row>
    <row r="2413" spans="6:8">
      <c r="F2413">
        <v>33443</v>
      </c>
      <c r="G2413">
        <v>7278</v>
      </c>
      <c r="H2413" s="9">
        <v>40281</v>
      </c>
    </row>
    <row r="2414" spans="6:8">
      <c r="F2414">
        <v>33461</v>
      </c>
      <c r="G2414">
        <v>1983</v>
      </c>
      <c r="H2414" s="9">
        <v>40282</v>
      </c>
    </row>
    <row r="2415" spans="6:8">
      <c r="F2415">
        <v>33464</v>
      </c>
      <c r="G2415">
        <v>7316</v>
      </c>
      <c r="H2415" s="9">
        <v>40282</v>
      </c>
    </row>
    <row r="2416" spans="6:8">
      <c r="F2416">
        <v>33467</v>
      </c>
      <c r="G2416">
        <v>7314</v>
      </c>
      <c r="H2416" s="9">
        <v>40282</v>
      </c>
    </row>
    <row r="2417" spans="6:8">
      <c r="F2417">
        <v>33468</v>
      </c>
      <c r="G2417">
        <v>7315</v>
      </c>
      <c r="H2417" s="9">
        <v>40282</v>
      </c>
    </row>
    <row r="2418" spans="6:8">
      <c r="F2418">
        <v>33493</v>
      </c>
      <c r="G2418">
        <v>5928</v>
      </c>
      <c r="H2418" s="9">
        <v>40282</v>
      </c>
    </row>
    <row r="2419" spans="6:8">
      <c r="F2419">
        <v>33523</v>
      </c>
      <c r="G2419">
        <v>5712</v>
      </c>
      <c r="H2419" s="9">
        <v>40286</v>
      </c>
    </row>
    <row r="2420" spans="6:8">
      <c r="F2420">
        <v>33525</v>
      </c>
      <c r="G2420">
        <v>4905</v>
      </c>
      <c r="H2420" s="9">
        <v>40286</v>
      </c>
    </row>
    <row r="2421" spans="6:8">
      <c r="F2421">
        <v>33526</v>
      </c>
      <c r="G2421">
        <v>6917</v>
      </c>
      <c r="H2421" s="9">
        <v>40286</v>
      </c>
    </row>
    <row r="2422" spans="6:8">
      <c r="F2422">
        <v>33529</v>
      </c>
      <c r="G2422">
        <v>7318</v>
      </c>
      <c r="H2422" s="9">
        <v>40286</v>
      </c>
    </row>
    <row r="2423" spans="6:8">
      <c r="F2423">
        <v>33532</v>
      </c>
      <c r="G2423">
        <v>7319</v>
      </c>
      <c r="H2423" s="9">
        <v>40286</v>
      </c>
    </row>
    <row r="2424" spans="6:8">
      <c r="F2424">
        <v>33571</v>
      </c>
      <c r="G2424">
        <v>3792</v>
      </c>
      <c r="H2424" s="9">
        <v>40287</v>
      </c>
    </row>
    <row r="2425" spans="6:8">
      <c r="F2425">
        <v>33595</v>
      </c>
      <c r="G2425">
        <v>1981</v>
      </c>
      <c r="H2425" s="9">
        <v>40287</v>
      </c>
    </row>
    <row r="2426" spans="6:8">
      <c r="F2426">
        <v>33606</v>
      </c>
      <c r="G2426">
        <v>1645</v>
      </c>
      <c r="H2426" s="9">
        <v>40287</v>
      </c>
    </row>
    <row r="2427" spans="6:8">
      <c r="F2427">
        <v>33669</v>
      </c>
      <c r="G2427">
        <v>6949</v>
      </c>
      <c r="H2427" s="9">
        <v>40288</v>
      </c>
    </row>
    <row r="2428" spans="6:8">
      <c r="F2428">
        <v>33703</v>
      </c>
      <c r="G2428">
        <v>5413</v>
      </c>
      <c r="H2428" s="9">
        <v>40289</v>
      </c>
    </row>
    <row r="2429" spans="6:8">
      <c r="F2429">
        <v>33747</v>
      </c>
      <c r="G2429">
        <v>6065</v>
      </c>
      <c r="H2429" s="9">
        <v>40288</v>
      </c>
    </row>
    <row r="2430" spans="6:8">
      <c r="F2430">
        <v>33750</v>
      </c>
      <c r="G2430">
        <v>7071</v>
      </c>
      <c r="H2430" s="9">
        <v>40288</v>
      </c>
    </row>
    <row r="2431" spans="6:8">
      <c r="F2431">
        <v>33804</v>
      </c>
      <c r="G2431">
        <v>1328</v>
      </c>
      <c r="H2431" s="9">
        <v>40293</v>
      </c>
    </row>
    <row r="2432" spans="6:8">
      <c r="F2432">
        <v>33825</v>
      </c>
      <c r="G2432">
        <v>6510</v>
      </c>
      <c r="H2432" s="9">
        <v>40293</v>
      </c>
    </row>
    <row r="2433" spans="6:8">
      <c r="F2433">
        <v>33842</v>
      </c>
      <c r="G2433">
        <v>4509</v>
      </c>
      <c r="H2433" s="9">
        <v>40293</v>
      </c>
    </row>
    <row r="2434" spans="6:8">
      <c r="F2434">
        <v>33846</v>
      </c>
      <c r="G2434">
        <v>3496</v>
      </c>
      <c r="H2434" s="9">
        <v>40293</v>
      </c>
    </row>
    <row r="2435" spans="6:8">
      <c r="F2435">
        <v>33849</v>
      </c>
      <c r="G2435">
        <v>6662</v>
      </c>
      <c r="H2435" s="9">
        <v>40293</v>
      </c>
    </row>
    <row r="2436" spans="6:8">
      <c r="F2436">
        <v>33878</v>
      </c>
      <c r="G2436">
        <v>135</v>
      </c>
      <c r="H2436" s="9">
        <v>40293</v>
      </c>
    </row>
    <row r="2437" spans="6:8">
      <c r="F2437">
        <v>33911</v>
      </c>
      <c r="G2437">
        <v>2178</v>
      </c>
      <c r="H2437" s="9">
        <v>40296</v>
      </c>
    </row>
    <row r="2438" spans="6:8">
      <c r="F2438">
        <v>33929</v>
      </c>
      <c r="G2438">
        <v>1401</v>
      </c>
      <c r="H2438" s="9">
        <v>40296</v>
      </c>
    </row>
    <row r="2439" spans="6:8">
      <c r="F2439">
        <v>33941</v>
      </c>
      <c r="G2439">
        <v>5567</v>
      </c>
      <c r="H2439" s="9">
        <v>40296</v>
      </c>
    </row>
    <row r="2440" spans="6:8">
      <c r="F2440">
        <v>33956</v>
      </c>
      <c r="G2440">
        <v>7202</v>
      </c>
      <c r="H2440" s="9">
        <v>40296</v>
      </c>
    </row>
    <row r="2441" spans="6:8">
      <c r="F2441">
        <v>33983</v>
      </c>
      <c r="G2441">
        <v>4741</v>
      </c>
      <c r="H2441" s="9">
        <v>40299</v>
      </c>
    </row>
    <row r="2442" spans="6:8">
      <c r="F2442">
        <v>34005</v>
      </c>
      <c r="G2442">
        <v>7096</v>
      </c>
      <c r="H2442" s="9">
        <v>40300</v>
      </c>
    </row>
    <row r="2443" spans="6:8">
      <c r="F2443">
        <v>34038</v>
      </c>
      <c r="G2443">
        <v>5637</v>
      </c>
      <c r="H2443" s="9">
        <v>40301</v>
      </c>
    </row>
    <row r="2444" spans="6:8">
      <c r="F2444">
        <v>34041</v>
      </c>
      <c r="G2444">
        <v>2100</v>
      </c>
      <c r="H2444" s="9">
        <v>40301</v>
      </c>
    </row>
    <row r="2445" spans="6:8">
      <c r="F2445">
        <v>34046</v>
      </c>
      <c r="G2445">
        <v>6769</v>
      </c>
      <c r="H2445" s="9">
        <v>40301</v>
      </c>
    </row>
    <row r="2446" spans="6:8">
      <c r="F2446">
        <v>34084</v>
      </c>
      <c r="G2446">
        <v>3432</v>
      </c>
      <c r="H2446" s="9">
        <v>40303</v>
      </c>
    </row>
    <row r="2447" spans="6:8">
      <c r="F2447">
        <v>34117</v>
      </c>
      <c r="G2447">
        <v>2747</v>
      </c>
      <c r="H2447" s="9">
        <v>40303</v>
      </c>
    </row>
    <row r="2448" spans="6:8">
      <c r="F2448">
        <v>34118</v>
      </c>
      <c r="G2448">
        <v>1610</v>
      </c>
      <c r="H2448" s="9">
        <v>40303</v>
      </c>
    </row>
    <row r="2449" spans="6:8">
      <c r="F2449">
        <v>34120</v>
      </c>
      <c r="G2449">
        <v>5485</v>
      </c>
      <c r="H2449" s="9">
        <v>40303</v>
      </c>
    </row>
    <row r="2450" spans="6:8">
      <c r="F2450">
        <v>34127</v>
      </c>
      <c r="G2450">
        <v>7353</v>
      </c>
      <c r="H2450" s="9">
        <v>40303</v>
      </c>
    </row>
    <row r="2451" spans="6:8">
      <c r="F2451">
        <v>34146</v>
      </c>
      <c r="G2451">
        <v>7364</v>
      </c>
      <c r="H2451" s="9">
        <v>40308</v>
      </c>
    </row>
    <row r="2452" spans="6:8">
      <c r="F2452">
        <v>34148</v>
      </c>
      <c r="G2452">
        <v>7366</v>
      </c>
      <c r="H2452" s="9">
        <v>40308</v>
      </c>
    </row>
    <row r="2453" spans="6:8">
      <c r="F2453">
        <v>34149</v>
      </c>
      <c r="G2453">
        <v>7367</v>
      </c>
      <c r="H2453" s="9">
        <v>40308</v>
      </c>
    </row>
    <row r="2454" spans="6:8">
      <c r="F2454">
        <v>34150</v>
      </c>
      <c r="G2454">
        <v>7368</v>
      </c>
      <c r="H2454" s="9">
        <v>40308</v>
      </c>
    </row>
    <row r="2455" spans="6:8">
      <c r="F2455">
        <v>34152</v>
      </c>
      <c r="G2455">
        <v>7370</v>
      </c>
      <c r="H2455" s="9">
        <v>40308</v>
      </c>
    </row>
    <row r="2456" spans="6:8">
      <c r="F2456">
        <v>34153</v>
      </c>
      <c r="G2456">
        <v>7371</v>
      </c>
      <c r="H2456" s="9">
        <v>40308</v>
      </c>
    </row>
    <row r="2457" spans="6:8">
      <c r="F2457">
        <v>34158</v>
      </c>
      <c r="G2457">
        <v>7372</v>
      </c>
      <c r="H2457" s="9">
        <v>40308</v>
      </c>
    </row>
    <row r="2458" spans="6:8">
      <c r="F2458">
        <v>34161</v>
      </c>
      <c r="G2458">
        <v>3712</v>
      </c>
      <c r="H2458" s="9">
        <v>40308</v>
      </c>
    </row>
    <row r="2459" spans="6:8">
      <c r="F2459">
        <v>34166</v>
      </c>
      <c r="G2459">
        <v>4488</v>
      </c>
      <c r="H2459" s="9">
        <v>40308</v>
      </c>
    </row>
    <row r="2460" spans="6:8">
      <c r="F2460">
        <v>34177</v>
      </c>
      <c r="G2460">
        <v>2002</v>
      </c>
      <c r="H2460" s="9">
        <v>40309</v>
      </c>
    </row>
    <row r="2461" spans="6:8">
      <c r="F2461">
        <v>34178</v>
      </c>
      <c r="G2461">
        <v>2002</v>
      </c>
      <c r="H2461" s="9">
        <v>40309</v>
      </c>
    </row>
    <row r="2462" spans="6:8">
      <c r="F2462">
        <v>34203</v>
      </c>
      <c r="G2462">
        <v>2800</v>
      </c>
      <c r="H2462" s="9">
        <v>40310</v>
      </c>
    </row>
    <row r="2463" spans="6:8">
      <c r="F2463">
        <v>34243</v>
      </c>
      <c r="G2463">
        <v>7397</v>
      </c>
      <c r="H2463" s="9">
        <v>40310</v>
      </c>
    </row>
    <row r="2464" spans="6:8">
      <c r="F2464">
        <v>34263</v>
      </c>
      <c r="G2464">
        <v>7417</v>
      </c>
      <c r="H2464" s="9">
        <v>40310</v>
      </c>
    </row>
    <row r="2465" spans="6:8">
      <c r="F2465">
        <v>34279</v>
      </c>
      <c r="G2465">
        <v>1240</v>
      </c>
      <c r="H2465" s="9">
        <v>40313</v>
      </c>
    </row>
    <row r="2466" spans="6:8">
      <c r="F2466">
        <v>34299</v>
      </c>
      <c r="G2466">
        <v>3458</v>
      </c>
      <c r="H2466" s="9">
        <v>40313</v>
      </c>
    </row>
    <row r="2467" spans="6:8">
      <c r="F2467">
        <v>34305</v>
      </c>
      <c r="G2467">
        <v>7437</v>
      </c>
      <c r="H2467" s="9">
        <v>40313</v>
      </c>
    </row>
    <row r="2468" spans="6:8">
      <c r="F2468">
        <v>34306</v>
      </c>
      <c r="G2468">
        <v>6812</v>
      </c>
      <c r="H2468" s="9">
        <v>40313</v>
      </c>
    </row>
    <row r="2469" spans="6:8">
      <c r="F2469">
        <v>34309</v>
      </c>
      <c r="G2469">
        <v>6970</v>
      </c>
      <c r="H2469" s="9">
        <v>40313</v>
      </c>
    </row>
    <row r="2470" spans="6:8">
      <c r="F2470">
        <v>34325</v>
      </c>
      <c r="G2470">
        <v>2332</v>
      </c>
      <c r="H2470" s="9">
        <v>40314</v>
      </c>
    </row>
    <row r="2471" spans="6:8">
      <c r="F2471">
        <v>34358</v>
      </c>
      <c r="G2471">
        <v>146</v>
      </c>
      <c r="H2471" s="9">
        <v>40314</v>
      </c>
    </row>
    <row r="2472" spans="6:8">
      <c r="F2472">
        <v>34359</v>
      </c>
      <c r="G2472">
        <v>6592</v>
      </c>
      <c r="H2472" s="9">
        <v>40314</v>
      </c>
    </row>
    <row r="2473" spans="6:8">
      <c r="F2473">
        <v>34362</v>
      </c>
      <c r="G2473">
        <v>1358</v>
      </c>
      <c r="H2473" s="9">
        <v>40314</v>
      </c>
    </row>
    <row r="2474" spans="6:8">
      <c r="F2474">
        <v>34363</v>
      </c>
      <c r="G2474">
        <v>1127</v>
      </c>
      <c r="H2474" s="9">
        <v>40314</v>
      </c>
    </row>
    <row r="2475" spans="6:8">
      <c r="F2475">
        <v>34373</v>
      </c>
      <c r="G2475">
        <v>7066</v>
      </c>
      <c r="H2475" s="9">
        <v>40315</v>
      </c>
    </row>
    <row r="2476" spans="6:8">
      <c r="F2476">
        <v>34374</v>
      </c>
      <c r="G2476">
        <v>7226</v>
      </c>
      <c r="H2476" s="9">
        <v>40315</v>
      </c>
    </row>
    <row r="2477" spans="6:8">
      <c r="F2477">
        <v>34377</v>
      </c>
      <c r="G2477">
        <v>6718</v>
      </c>
      <c r="H2477" s="9">
        <v>40315</v>
      </c>
    </row>
    <row r="2478" spans="6:8">
      <c r="F2478">
        <v>34445</v>
      </c>
      <c r="G2478">
        <v>3924</v>
      </c>
      <c r="H2478" s="9">
        <v>40316</v>
      </c>
    </row>
    <row r="2479" spans="6:8">
      <c r="F2479">
        <v>34448</v>
      </c>
      <c r="G2479">
        <v>5218</v>
      </c>
      <c r="H2479" s="9">
        <v>40316</v>
      </c>
    </row>
    <row r="2480" spans="6:8">
      <c r="F2480">
        <v>34478</v>
      </c>
      <c r="G2480">
        <v>7311</v>
      </c>
      <c r="H2480" s="9">
        <v>40317</v>
      </c>
    </row>
    <row r="2481" spans="6:8">
      <c r="F2481">
        <v>34488</v>
      </c>
      <c r="G2481">
        <v>4940</v>
      </c>
      <c r="H2481" s="9">
        <v>40317</v>
      </c>
    </row>
    <row r="2482" spans="6:8">
      <c r="F2482">
        <v>34493</v>
      </c>
      <c r="G2482">
        <v>3880</v>
      </c>
      <c r="H2482" s="9">
        <v>40317</v>
      </c>
    </row>
    <row r="2483" spans="6:8">
      <c r="F2483">
        <v>34494</v>
      </c>
      <c r="G2483">
        <v>3916</v>
      </c>
      <c r="H2483" s="9">
        <v>40317</v>
      </c>
    </row>
    <row r="2484" spans="6:8">
      <c r="F2484">
        <v>34503</v>
      </c>
      <c r="G2484">
        <v>647</v>
      </c>
      <c r="H2484" s="9">
        <v>40317</v>
      </c>
    </row>
    <row r="2485" spans="6:8">
      <c r="F2485">
        <v>34508</v>
      </c>
      <c r="G2485">
        <v>2415</v>
      </c>
      <c r="H2485" s="9">
        <v>40317</v>
      </c>
    </row>
    <row r="2486" spans="6:8">
      <c r="F2486">
        <v>34530</v>
      </c>
      <c r="G2486">
        <v>1561</v>
      </c>
      <c r="H2486" s="9">
        <v>40317</v>
      </c>
    </row>
    <row r="2487" spans="6:8">
      <c r="F2487">
        <v>34533</v>
      </c>
      <c r="G2487">
        <v>5588</v>
      </c>
      <c r="H2487" s="9">
        <v>40318</v>
      </c>
    </row>
    <row r="2488" spans="6:8">
      <c r="F2488">
        <v>34584</v>
      </c>
      <c r="G2488">
        <v>7102</v>
      </c>
      <c r="H2488" s="9">
        <v>40320</v>
      </c>
    </row>
    <row r="2489" spans="6:8">
      <c r="F2489">
        <v>34586</v>
      </c>
      <c r="G2489">
        <v>3520</v>
      </c>
      <c r="H2489" s="9">
        <v>40321</v>
      </c>
    </row>
    <row r="2490" spans="6:8">
      <c r="F2490">
        <v>34587</v>
      </c>
      <c r="G2490">
        <v>7206</v>
      </c>
      <c r="H2490" s="9">
        <v>40321</v>
      </c>
    </row>
    <row r="2491" spans="6:8">
      <c r="F2491">
        <v>34594</v>
      </c>
      <c r="G2491">
        <v>7442</v>
      </c>
      <c r="H2491" s="9">
        <v>40321</v>
      </c>
    </row>
    <row r="2492" spans="6:8">
      <c r="F2492">
        <v>34597</v>
      </c>
      <c r="G2492">
        <v>4414</v>
      </c>
      <c r="H2492" s="9">
        <v>40321</v>
      </c>
    </row>
    <row r="2493" spans="6:8">
      <c r="F2493">
        <v>34631</v>
      </c>
      <c r="G2493">
        <v>6793</v>
      </c>
      <c r="H2493" s="9">
        <v>40321</v>
      </c>
    </row>
    <row r="2494" spans="6:8">
      <c r="F2494">
        <v>34691</v>
      </c>
      <c r="G2494">
        <v>2411</v>
      </c>
      <c r="H2494" s="9">
        <v>40335</v>
      </c>
    </row>
    <row r="2495" spans="6:8">
      <c r="F2495">
        <v>34702</v>
      </c>
      <c r="G2495">
        <v>2283</v>
      </c>
      <c r="H2495" s="9">
        <v>40335</v>
      </c>
    </row>
    <row r="2496" spans="6:8">
      <c r="F2496">
        <v>34733</v>
      </c>
      <c r="G2496">
        <v>4122</v>
      </c>
      <c r="H2496" s="9">
        <v>40337</v>
      </c>
    </row>
    <row r="2497" spans="6:8">
      <c r="F2497">
        <v>34749</v>
      </c>
      <c r="G2497">
        <v>2528</v>
      </c>
      <c r="H2497" s="9">
        <v>40338</v>
      </c>
    </row>
    <row r="2498" spans="6:8">
      <c r="F2498">
        <v>34762</v>
      </c>
      <c r="G2498">
        <v>2558</v>
      </c>
      <c r="H2498" s="9">
        <v>40338</v>
      </c>
    </row>
    <row r="2499" spans="6:8">
      <c r="F2499">
        <v>34765</v>
      </c>
      <c r="G2499">
        <v>1532</v>
      </c>
      <c r="H2499" s="9">
        <v>40338</v>
      </c>
    </row>
    <row r="2500" spans="6:8">
      <c r="F2500">
        <v>34781</v>
      </c>
      <c r="G2500">
        <v>4526</v>
      </c>
      <c r="H2500" s="9">
        <v>40341</v>
      </c>
    </row>
    <row r="2501" spans="6:8">
      <c r="F2501">
        <v>34808</v>
      </c>
      <c r="G2501">
        <v>945</v>
      </c>
      <c r="H2501" s="9">
        <v>40341</v>
      </c>
    </row>
    <row r="2502" spans="6:8">
      <c r="F2502">
        <v>34823</v>
      </c>
      <c r="G2502">
        <v>4201</v>
      </c>
      <c r="H2502" s="9">
        <v>40341</v>
      </c>
    </row>
    <row r="2503" spans="6:8">
      <c r="F2503">
        <v>34829</v>
      </c>
      <c r="G2503">
        <v>3052</v>
      </c>
      <c r="H2503" s="9">
        <v>40342</v>
      </c>
    </row>
    <row r="2504" spans="6:8">
      <c r="F2504">
        <v>34845</v>
      </c>
      <c r="G2504">
        <v>2744</v>
      </c>
      <c r="H2504" s="9">
        <v>40342</v>
      </c>
    </row>
    <row r="2505" spans="6:8">
      <c r="F2505">
        <v>34850</v>
      </c>
      <c r="G2505">
        <v>5135</v>
      </c>
      <c r="H2505" s="9">
        <v>40342</v>
      </c>
    </row>
    <row r="2506" spans="6:8">
      <c r="F2506">
        <v>34865</v>
      </c>
      <c r="G2506">
        <v>2218</v>
      </c>
      <c r="H2506" s="9">
        <v>40342</v>
      </c>
    </row>
    <row r="2507" spans="6:8">
      <c r="F2507">
        <v>34877</v>
      </c>
      <c r="G2507">
        <v>1658</v>
      </c>
      <c r="H2507" s="9">
        <v>40343</v>
      </c>
    </row>
    <row r="2508" spans="6:8">
      <c r="F2508">
        <v>34904</v>
      </c>
      <c r="G2508">
        <v>2404</v>
      </c>
      <c r="H2508" s="9">
        <v>40343</v>
      </c>
    </row>
    <row r="2509" spans="6:8">
      <c r="F2509">
        <v>34920</v>
      </c>
      <c r="G2509">
        <v>7452</v>
      </c>
      <c r="H2509" s="9">
        <v>40343</v>
      </c>
    </row>
    <row r="2510" spans="6:8">
      <c r="F2510">
        <v>34923</v>
      </c>
      <c r="G2510">
        <v>6863</v>
      </c>
      <c r="H2510" s="9">
        <v>40343</v>
      </c>
    </row>
    <row r="2511" spans="6:8">
      <c r="F2511">
        <v>34927</v>
      </c>
      <c r="G2511">
        <v>5683</v>
      </c>
      <c r="H2511" s="9">
        <v>40343</v>
      </c>
    </row>
    <row r="2512" spans="6:8">
      <c r="F2512">
        <v>34930</v>
      </c>
      <c r="G2512">
        <v>3379</v>
      </c>
      <c r="H2512" s="9">
        <v>40343</v>
      </c>
    </row>
    <row r="2513" spans="6:8">
      <c r="F2513">
        <v>34931</v>
      </c>
      <c r="G2513">
        <v>3091</v>
      </c>
      <c r="H2513" s="9">
        <v>40343</v>
      </c>
    </row>
    <row r="2514" spans="6:8">
      <c r="F2514">
        <v>34942</v>
      </c>
      <c r="G2514">
        <v>7453</v>
      </c>
      <c r="H2514" s="9">
        <v>40343</v>
      </c>
    </row>
    <row r="2515" spans="6:8">
      <c r="F2515">
        <v>34949</v>
      </c>
      <c r="G2515">
        <v>3659</v>
      </c>
      <c r="H2515" s="9">
        <v>40344</v>
      </c>
    </row>
    <row r="2516" spans="6:8">
      <c r="F2516">
        <v>35002</v>
      </c>
      <c r="G2516">
        <v>6844</v>
      </c>
      <c r="H2516" s="9">
        <v>40344</v>
      </c>
    </row>
    <row r="2517" spans="6:8">
      <c r="F2517">
        <v>35054</v>
      </c>
      <c r="G2517">
        <v>1688</v>
      </c>
      <c r="H2517" s="9">
        <v>40345</v>
      </c>
    </row>
    <row r="2518" spans="6:8">
      <c r="F2518">
        <v>35056</v>
      </c>
      <c r="G2518">
        <v>415</v>
      </c>
      <c r="H2518" s="9">
        <v>40345</v>
      </c>
    </row>
    <row r="2519" spans="6:8">
      <c r="F2519">
        <v>35059</v>
      </c>
      <c r="G2519">
        <v>2862</v>
      </c>
      <c r="H2519" s="9">
        <v>40345</v>
      </c>
    </row>
    <row r="2520" spans="6:8">
      <c r="F2520">
        <v>35104</v>
      </c>
      <c r="G2520">
        <v>7457</v>
      </c>
      <c r="H2520" s="9">
        <v>40351</v>
      </c>
    </row>
    <row r="2521" spans="6:8">
      <c r="F2521">
        <v>35126</v>
      </c>
      <c r="G2521">
        <v>4691</v>
      </c>
      <c r="H2521" s="9">
        <v>40351</v>
      </c>
    </row>
    <row r="2522" spans="6:8">
      <c r="F2522">
        <v>35146</v>
      </c>
      <c r="G2522">
        <v>5713</v>
      </c>
      <c r="H2522" s="9">
        <v>40351</v>
      </c>
    </row>
    <row r="2523" spans="6:8">
      <c r="F2523">
        <v>35147</v>
      </c>
      <c r="G2523">
        <v>3827</v>
      </c>
      <c r="H2523" s="9">
        <v>40351</v>
      </c>
    </row>
    <row r="2524" spans="6:8">
      <c r="F2524">
        <v>35193</v>
      </c>
      <c r="G2524">
        <v>1228</v>
      </c>
      <c r="H2524" s="9">
        <v>40351</v>
      </c>
    </row>
    <row r="2525" spans="6:8">
      <c r="F2525">
        <v>35244</v>
      </c>
      <c r="G2525">
        <v>6088</v>
      </c>
      <c r="H2525" s="9">
        <v>40356</v>
      </c>
    </row>
    <row r="2526" spans="6:8">
      <c r="F2526">
        <v>35245</v>
      </c>
      <c r="G2526">
        <v>4693</v>
      </c>
      <c r="H2526" s="9">
        <v>40356</v>
      </c>
    </row>
    <row r="2527" spans="6:8">
      <c r="F2527">
        <v>35246</v>
      </c>
      <c r="G2527">
        <v>7459</v>
      </c>
      <c r="H2527" s="9">
        <v>40356</v>
      </c>
    </row>
    <row r="2528" spans="6:8">
      <c r="F2528">
        <v>35269</v>
      </c>
      <c r="G2528">
        <v>6218</v>
      </c>
      <c r="H2528" s="9">
        <v>40356</v>
      </c>
    </row>
    <row r="2529" spans="6:8">
      <c r="F2529">
        <v>35274</v>
      </c>
      <c r="G2529">
        <v>6452</v>
      </c>
      <c r="H2529" s="9">
        <v>40357</v>
      </c>
    </row>
    <row r="2530" spans="6:8">
      <c r="F2530">
        <v>35314</v>
      </c>
      <c r="G2530">
        <v>4533</v>
      </c>
      <c r="H2530" s="9">
        <v>40357</v>
      </c>
    </row>
    <row r="2531" spans="6:8">
      <c r="F2531">
        <v>35317</v>
      </c>
      <c r="G2531">
        <v>2088</v>
      </c>
      <c r="H2531" s="9">
        <v>40359</v>
      </c>
    </row>
    <row r="2532" spans="6:8">
      <c r="F2532">
        <v>35338</v>
      </c>
      <c r="G2532">
        <v>1440</v>
      </c>
      <c r="H2532" s="9">
        <v>40359</v>
      </c>
    </row>
    <row r="2533" spans="6:8">
      <c r="F2533">
        <v>35352</v>
      </c>
      <c r="G2533">
        <v>6149</v>
      </c>
      <c r="H2533" s="9">
        <v>40361</v>
      </c>
    </row>
    <row r="2534" spans="6:8">
      <c r="F2534">
        <v>35378</v>
      </c>
      <c r="G2534">
        <v>7461</v>
      </c>
      <c r="H2534" s="9">
        <v>40361</v>
      </c>
    </row>
    <row r="2535" spans="6:8">
      <c r="F2535">
        <v>35380</v>
      </c>
      <c r="G2535">
        <v>5969</v>
      </c>
      <c r="H2535" s="9">
        <v>40361</v>
      </c>
    </row>
    <row r="2536" spans="6:8">
      <c r="F2536">
        <v>35383</v>
      </c>
      <c r="G2536">
        <v>5190</v>
      </c>
      <c r="H2536" s="9">
        <v>40361</v>
      </c>
    </row>
    <row r="2537" spans="6:8">
      <c r="F2537">
        <v>35388</v>
      </c>
      <c r="G2537">
        <v>7067</v>
      </c>
      <c r="H2537" s="9">
        <v>40361</v>
      </c>
    </row>
    <row r="2538" spans="6:8">
      <c r="F2538">
        <v>35391</v>
      </c>
      <c r="G2538">
        <v>2752</v>
      </c>
      <c r="H2538" s="9">
        <v>40361</v>
      </c>
    </row>
    <row r="2539" spans="6:8">
      <c r="F2539">
        <v>35394</v>
      </c>
      <c r="G2539">
        <v>2770</v>
      </c>
      <c r="H2539" s="9">
        <v>40361</v>
      </c>
    </row>
    <row r="2540" spans="6:8">
      <c r="F2540">
        <v>35445</v>
      </c>
      <c r="G2540">
        <v>3783</v>
      </c>
      <c r="H2540" s="9">
        <v>40362</v>
      </c>
    </row>
    <row r="2541" spans="6:8">
      <c r="F2541">
        <v>35521</v>
      </c>
      <c r="G2541">
        <v>1977</v>
      </c>
      <c r="H2541" s="9">
        <v>40369</v>
      </c>
    </row>
    <row r="2542" spans="6:8">
      <c r="F2542">
        <v>35559</v>
      </c>
      <c r="G2542">
        <v>1811</v>
      </c>
      <c r="H2542" s="9">
        <v>40371</v>
      </c>
    </row>
    <row r="2543" spans="6:8">
      <c r="F2543">
        <v>35592</v>
      </c>
      <c r="G2543">
        <v>1410</v>
      </c>
      <c r="H2543" s="9">
        <v>40371</v>
      </c>
    </row>
    <row r="2544" spans="6:8">
      <c r="F2544">
        <v>35606</v>
      </c>
      <c r="G2544">
        <v>1316</v>
      </c>
      <c r="H2544" s="9">
        <v>40372</v>
      </c>
    </row>
    <row r="2545" spans="6:8">
      <c r="F2545">
        <v>35616</v>
      </c>
      <c r="G2545">
        <v>2663</v>
      </c>
      <c r="H2545" s="9">
        <v>40372</v>
      </c>
    </row>
    <row r="2546" spans="6:8">
      <c r="F2546">
        <v>35632</v>
      </c>
      <c r="G2546">
        <v>7201</v>
      </c>
      <c r="H2546" s="9">
        <v>40372</v>
      </c>
    </row>
    <row r="2547" spans="6:8">
      <c r="F2547">
        <v>35634</v>
      </c>
      <c r="G2547">
        <v>3102</v>
      </c>
      <c r="H2547" s="9">
        <v>40372</v>
      </c>
    </row>
    <row r="2548" spans="6:8">
      <c r="F2548">
        <v>35642</v>
      </c>
      <c r="G2548">
        <v>7466</v>
      </c>
      <c r="H2548" s="9">
        <v>40372</v>
      </c>
    </row>
    <row r="2549" spans="6:8">
      <c r="F2549">
        <v>35659</v>
      </c>
      <c r="G2549">
        <v>5563</v>
      </c>
      <c r="H2549" s="9">
        <v>40372</v>
      </c>
    </row>
    <row r="2550" spans="6:8">
      <c r="F2550">
        <v>35661</v>
      </c>
      <c r="G2550">
        <v>466</v>
      </c>
      <c r="H2550" s="9">
        <v>40375</v>
      </c>
    </row>
    <row r="2551" spans="6:8">
      <c r="F2551">
        <v>35662</v>
      </c>
      <c r="G2551">
        <v>2592</v>
      </c>
      <c r="H2551" s="9">
        <v>40375</v>
      </c>
    </row>
    <row r="2552" spans="6:8">
      <c r="F2552">
        <v>35671</v>
      </c>
      <c r="G2552">
        <v>316</v>
      </c>
      <c r="H2552" s="9">
        <v>40375</v>
      </c>
    </row>
    <row r="2553" spans="6:8">
      <c r="F2553">
        <v>35675</v>
      </c>
      <c r="G2553">
        <v>650</v>
      </c>
      <c r="H2553" s="9">
        <v>40375</v>
      </c>
    </row>
    <row r="2554" spans="6:8">
      <c r="F2554">
        <v>35678</v>
      </c>
      <c r="G2554">
        <v>2315</v>
      </c>
      <c r="H2554" s="9">
        <v>40375</v>
      </c>
    </row>
    <row r="2555" spans="6:8">
      <c r="F2555">
        <v>35684</v>
      </c>
      <c r="G2555">
        <v>3061</v>
      </c>
      <c r="H2555" s="9">
        <v>40375</v>
      </c>
    </row>
    <row r="2556" spans="6:8">
      <c r="F2556">
        <v>35688</v>
      </c>
      <c r="G2556">
        <v>3027</v>
      </c>
      <c r="H2556" s="9">
        <v>40375</v>
      </c>
    </row>
    <row r="2557" spans="6:8">
      <c r="F2557">
        <v>35701</v>
      </c>
      <c r="G2557">
        <v>2897</v>
      </c>
      <c r="H2557" s="9">
        <v>40375</v>
      </c>
    </row>
    <row r="2558" spans="6:8">
      <c r="F2558">
        <v>35705</v>
      </c>
      <c r="G2558">
        <v>5193</v>
      </c>
      <c r="H2558" s="9">
        <v>40375</v>
      </c>
    </row>
    <row r="2559" spans="6:8">
      <c r="F2559">
        <v>35711</v>
      </c>
      <c r="G2559">
        <v>7467</v>
      </c>
      <c r="H2559" s="9">
        <v>40375</v>
      </c>
    </row>
    <row r="2560" spans="6:8">
      <c r="F2560">
        <v>35712</v>
      </c>
      <c r="G2560">
        <v>5687</v>
      </c>
      <c r="H2560" s="9">
        <v>40375</v>
      </c>
    </row>
    <row r="2561" spans="6:8">
      <c r="F2561">
        <v>35714</v>
      </c>
      <c r="G2561">
        <v>6677</v>
      </c>
      <c r="H2561" s="9">
        <v>40375</v>
      </c>
    </row>
    <row r="2562" spans="6:8">
      <c r="F2562">
        <v>35715</v>
      </c>
      <c r="G2562">
        <v>7468</v>
      </c>
      <c r="H2562" s="9">
        <v>40375</v>
      </c>
    </row>
    <row r="2563" spans="6:8">
      <c r="F2563">
        <v>35717</v>
      </c>
      <c r="G2563">
        <v>7058</v>
      </c>
      <c r="H2563" s="9">
        <v>40375</v>
      </c>
    </row>
    <row r="2564" spans="6:8">
      <c r="F2564">
        <v>35730</v>
      </c>
      <c r="G2564">
        <v>6511</v>
      </c>
      <c r="H2564" s="9">
        <v>40375</v>
      </c>
    </row>
    <row r="2565" spans="6:8">
      <c r="F2565">
        <v>35732</v>
      </c>
      <c r="G2565">
        <v>3655</v>
      </c>
      <c r="H2565" s="9">
        <v>40375</v>
      </c>
    </row>
    <row r="2566" spans="6:8">
      <c r="F2566">
        <v>35733</v>
      </c>
      <c r="G2566">
        <v>7469</v>
      </c>
      <c r="H2566" s="9">
        <v>40375</v>
      </c>
    </row>
    <row r="2567" spans="6:8">
      <c r="F2567">
        <v>35734</v>
      </c>
      <c r="G2567">
        <v>3163</v>
      </c>
      <c r="H2567" s="9">
        <v>40375</v>
      </c>
    </row>
    <row r="2568" spans="6:8">
      <c r="F2568">
        <v>35736</v>
      </c>
      <c r="G2568">
        <v>7441</v>
      </c>
      <c r="H2568" s="9">
        <v>40375</v>
      </c>
    </row>
    <row r="2569" spans="6:8">
      <c r="F2569">
        <v>35738</v>
      </c>
      <c r="G2569">
        <v>6677</v>
      </c>
      <c r="H2569" s="9">
        <v>40375</v>
      </c>
    </row>
    <row r="2570" spans="6:8">
      <c r="F2570">
        <v>35739</v>
      </c>
      <c r="G2570">
        <v>4817</v>
      </c>
      <c r="H2570" s="9">
        <v>40375</v>
      </c>
    </row>
    <row r="2571" spans="6:8">
      <c r="F2571">
        <v>35740</v>
      </c>
      <c r="G2571">
        <v>7470</v>
      </c>
      <c r="H2571" s="9">
        <v>40375</v>
      </c>
    </row>
    <row r="2572" spans="6:8">
      <c r="F2572">
        <v>35746</v>
      </c>
      <c r="G2572">
        <v>7471</v>
      </c>
      <c r="H2572" s="9">
        <v>40375</v>
      </c>
    </row>
    <row r="2573" spans="6:8">
      <c r="F2573">
        <v>35776</v>
      </c>
      <c r="G2573">
        <v>341</v>
      </c>
      <c r="H2573" s="9">
        <v>40377</v>
      </c>
    </row>
    <row r="2574" spans="6:8">
      <c r="F2574">
        <v>35782</v>
      </c>
      <c r="G2574">
        <v>1563</v>
      </c>
      <c r="H2574" s="9">
        <v>40377</v>
      </c>
    </row>
    <row r="2575" spans="6:8">
      <c r="F2575">
        <v>35784</v>
      </c>
      <c r="G2575">
        <v>2035</v>
      </c>
      <c r="H2575" s="9">
        <v>40377</v>
      </c>
    </row>
    <row r="2576" spans="6:8">
      <c r="F2576">
        <v>35787</v>
      </c>
      <c r="G2576">
        <v>3083</v>
      </c>
      <c r="H2576" s="9">
        <v>40377</v>
      </c>
    </row>
    <row r="2577" spans="6:8">
      <c r="F2577">
        <v>35803</v>
      </c>
      <c r="G2577">
        <v>7473</v>
      </c>
      <c r="H2577" s="9">
        <v>40377</v>
      </c>
    </row>
    <row r="2578" spans="6:8">
      <c r="F2578">
        <v>35822</v>
      </c>
      <c r="G2578">
        <v>1510</v>
      </c>
      <c r="H2578" s="9">
        <v>40378</v>
      </c>
    </row>
    <row r="2579" spans="6:8">
      <c r="F2579">
        <v>35846</v>
      </c>
      <c r="G2579">
        <v>5553</v>
      </c>
      <c r="H2579" s="9">
        <v>40378</v>
      </c>
    </row>
    <row r="2580" spans="6:8">
      <c r="F2580">
        <v>35848</v>
      </c>
      <c r="G2580">
        <v>6181</v>
      </c>
      <c r="H2580" s="9">
        <v>40378</v>
      </c>
    </row>
    <row r="2581" spans="6:8">
      <c r="F2581">
        <v>35854</v>
      </c>
      <c r="G2581">
        <v>4389</v>
      </c>
      <c r="H2581" s="9">
        <v>40378</v>
      </c>
    </row>
    <row r="2582" spans="6:8">
      <c r="F2582">
        <v>35878</v>
      </c>
      <c r="G2582">
        <v>1717</v>
      </c>
      <c r="H2582" s="9">
        <v>40379</v>
      </c>
    </row>
    <row r="2583" spans="6:8">
      <c r="F2583">
        <v>35908</v>
      </c>
      <c r="G2583">
        <v>3116</v>
      </c>
      <c r="H2583" s="9">
        <v>40385</v>
      </c>
    </row>
    <row r="2584" spans="6:8">
      <c r="F2584">
        <v>35916</v>
      </c>
      <c r="G2584">
        <v>7474</v>
      </c>
      <c r="H2584" s="9">
        <v>40386</v>
      </c>
    </row>
    <row r="2585" spans="6:8">
      <c r="F2585">
        <v>35926</v>
      </c>
      <c r="G2585">
        <v>2058</v>
      </c>
      <c r="H2585" s="9">
        <v>40386</v>
      </c>
    </row>
    <row r="2586" spans="6:8">
      <c r="F2586">
        <v>35929</v>
      </c>
      <c r="G2586">
        <v>6893</v>
      </c>
      <c r="H2586" s="9">
        <v>40386</v>
      </c>
    </row>
    <row r="2587" spans="6:8">
      <c r="F2587">
        <v>35976</v>
      </c>
      <c r="G2587">
        <v>3780</v>
      </c>
      <c r="H2587" s="9">
        <v>40387</v>
      </c>
    </row>
    <row r="2588" spans="6:8">
      <c r="F2588">
        <v>36043</v>
      </c>
      <c r="G2588">
        <v>1490</v>
      </c>
      <c r="H2588" s="9">
        <v>40392</v>
      </c>
    </row>
    <row r="2589" spans="6:8">
      <c r="F2589">
        <v>36070</v>
      </c>
      <c r="G2589">
        <v>2276</v>
      </c>
      <c r="H2589" s="9">
        <v>40392</v>
      </c>
    </row>
    <row r="2590" spans="6:8">
      <c r="F2590">
        <v>36090</v>
      </c>
      <c r="G2590">
        <v>3851</v>
      </c>
      <c r="H2590" s="9">
        <v>40393</v>
      </c>
    </row>
    <row r="2591" spans="6:8">
      <c r="F2591">
        <v>36097</v>
      </c>
      <c r="G2591">
        <v>1208</v>
      </c>
      <c r="H2591" s="9">
        <v>40393</v>
      </c>
    </row>
    <row r="2592" spans="6:8">
      <c r="F2592">
        <v>36111</v>
      </c>
      <c r="G2592">
        <v>520</v>
      </c>
      <c r="H2592" s="9">
        <v>40393</v>
      </c>
    </row>
    <row r="2593" spans="6:8">
      <c r="F2593">
        <v>36117</v>
      </c>
      <c r="G2593">
        <v>3428</v>
      </c>
      <c r="H2593" s="9">
        <v>40393</v>
      </c>
    </row>
    <row r="2594" spans="6:8">
      <c r="F2594">
        <v>36144</v>
      </c>
      <c r="G2594">
        <v>3912</v>
      </c>
      <c r="H2594" s="9">
        <v>40393</v>
      </c>
    </row>
    <row r="2595" spans="6:8">
      <c r="F2595">
        <v>36146</v>
      </c>
      <c r="G2595">
        <v>3894</v>
      </c>
      <c r="H2595" s="9">
        <v>40393</v>
      </c>
    </row>
    <row r="2596" spans="6:8">
      <c r="F2596">
        <v>36173</v>
      </c>
      <c r="G2596">
        <v>4570</v>
      </c>
      <c r="H2596" s="9">
        <v>40393</v>
      </c>
    </row>
    <row r="2597" spans="6:8">
      <c r="F2597">
        <v>36178</v>
      </c>
      <c r="G2597">
        <v>5094</v>
      </c>
      <c r="H2597" s="9">
        <v>40393</v>
      </c>
    </row>
    <row r="2598" spans="6:8">
      <c r="F2598">
        <v>36181</v>
      </c>
      <c r="G2598">
        <v>5381</v>
      </c>
      <c r="H2598" s="9">
        <v>40393</v>
      </c>
    </row>
    <row r="2599" spans="6:8">
      <c r="F2599">
        <v>36215</v>
      </c>
      <c r="G2599">
        <v>3806</v>
      </c>
      <c r="H2599" s="9">
        <v>40395</v>
      </c>
    </row>
    <row r="2600" spans="6:8">
      <c r="F2600">
        <v>36216</v>
      </c>
      <c r="G2600">
        <v>2258</v>
      </c>
      <c r="H2600" s="9">
        <v>40395</v>
      </c>
    </row>
    <row r="2601" spans="6:8">
      <c r="F2601">
        <v>36310</v>
      </c>
      <c r="G2601">
        <v>5</v>
      </c>
      <c r="H2601" s="9">
        <v>40395</v>
      </c>
    </row>
    <row r="2602" spans="6:8">
      <c r="F2602">
        <v>36311</v>
      </c>
      <c r="G2602">
        <v>228</v>
      </c>
      <c r="H2602" s="9">
        <v>40395</v>
      </c>
    </row>
    <row r="2603" spans="6:8">
      <c r="F2603">
        <v>36346</v>
      </c>
      <c r="G2603">
        <v>320</v>
      </c>
      <c r="H2603" s="9">
        <v>40396</v>
      </c>
    </row>
    <row r="2604" spans="6:8">
      <c r="F2604">
        <v>36366</v>
      </c>
      <c r="G2604">
        <v>585</v>
      </c>
      <c r="H2604" s="9">
        <v>40396</v>
      </c>
    </row>
    <row r="2605" spans="6:8">
      <c r="F2605">
        <v>36378</v>
      </c>
      <c r="G2605">
        <v>7477</v>
      </c>
      <c r="H2605" s="9">
        <v>40397</v>
      </c>
    </row>
    <row r="2606" spans="6:8">
      <c r="F2606">
        <v>36383</v>
      </c>
      <c r="G2606">
        <v>2480</v>
      </c>
      <c r="H2606" s="9">
        <v>40399</v>
      </c>
    </row>
    <row r="2607" spans="6:8">
      <c r="F2607">
        <v>36386</v>
      </c>
      <c r="G2607">
        <v>5692</v>
      </c>
      <c r="H2607" s="9">
        <v>40399</v>
      </c>
    </row>
    <row r="2608" spans="6:8">
      <c r="F2608">
        <v>36389</v>
      </c>
      <c r="G2608">
        <v>6973</v>
      </c>
      <c r="H2608" s="9">
        <v>40399</v>
      </c>
    </row>
    <row r="2609" spans="6:8">
      <c r="F2609">
        <v>36390</v>
      </c>
      <c r="G2609">
        <v>2464</v>
      </c>
      <c r="H2609" s="9">
        <v>40399</v>
      </c>
    </row>
    <row r="2610" spans="6:8">
      <c r="F2610">
        <v>36391</v>
      </c>
      <c r="G2610">
        <v>6840</v>
      </c>
      <c r="H2610" s="9">
        <v>40399</v>
      </c>
    </row>
    <row r="2611" spans="6:8">
      <c r="F2611">
        <v>36394</v>
      </c>
      <c r="G2611">
        <v>2805</v>
      </c>
      <c r="H2611" s="9">
        <v>40399</v>
      </c>
    </row>
    <row r="2612" spans="6:8">
      <c r="F2612">
        <v>36401</v>
      </c>
      <c r="G2612">
        <v>1258</v>
      </c>
      <c r="H2612" s="9">
        <v>40400</v>
      </c>
    </row>
    <row r="2613" spans="6:8">
      <c r="F2613">
        <v>36404</v>
      </c>
      <c r="G2613">
        <v>3832</v>
      </c>
      <c r="H2613" s="9">
        <v>40400</v>
      </c>
    </row>
    <row r="2614" spans="6:8">
      <c r="F2614">
        <v>36415</v>
      </c>
      <c r="G2614">
        <v>1935</v>
      </c>
      <c r="H2614" s="9">
        <v>40400</v>
      </c>
    </row>
    <row r="2615" spans="6:8">
      <c r="F2615">
        <v>36419</v>
      </c>
      <c r="G2615">
        <v>1773</v>
      </c>
      <c r="H2615" s="9">
        <v>40400</v>
      </c>
    </row>
    <row r="2616" spans="6:8">
      <c r="F2616">
        <v>36431</v>
      </c>
      <c r="G2616">
        <v>26</v>
      </c>
      <c r="H2616" s="9">
        <v>40402</v>
      </c>
    </row>
    <row r="2617" spans="6:8">
      <c r="F2617">
        <v>36444</v>
      </c>
      <c r="G2617">
        <v>90</v>
      </c>
      <c r="H2617" s="9">
        <v>40402</v>
      </c>
    </row>
    <row r="2618" spans="6:8">
      <c r="F2618">
        <v>36473</v>
      </c>
      <c r="G2618">
        <v>4190</v>
      </c>
      <c r="H2618" s="9">
        <v>40402</v>
      </c>
    </row>
    <row r="2619" spans="6:8">
      <c r="F2619">
        <v>36483</v>
      </c>
      <c r="G2619">
        <v>6693</v>
      </c>
      <c r="H2619" s="9">
        <v>40402</v>
      </c>
    </row>
    <row r="2620" spans="6:8">
      <c r="F2620">
        <v>36484</v>
      </c>
      <c r="G2620">
        <v>3708</v>
      </c>
      <c r="H2620" s="9">
        <v>40402</v>
      </c>
    </row>
    <row r="2621" spans="6:8">
      <c r="F2621">
        <v>36494</v>
      </c>
      <c r="G2621">
        <v>7479</v>
      </c>
      <c r="H2621" s="9">
        <v>40402</v>
      </c>
    </row>
    <row r="2622" spans="6:8">
      <c r="F2622">
        <v>36542</v>
      </c>
      <c r="G2622">
        <v>4819</v>
      </c>
      <c r="H2622" s="9">
        <v>40403</v>
      </c>
    </row>
    <row r="2623" spans="6:8">
      <c r="F2623">
        <v>36597</v>
      </c>
      <c r="G2623">
        <v>2186</v>
      </c>
      <c r="H2623" s="9">
        <v>40406</v>
      </c>
    </row>
    <row r="2624" spans="6:8">
      <c r="F2624">
        <v>36609</v>
      </c>
      <c r="G2624">
        <v>4736</v>
      </c>
      <c r="H2624" s="9">
        <v>40406</v>
      </c>
    </row>
    <row r="2625" spans="6:8">
      <c r="F2625">
        <v>36610</v>
      </c>
      <c r="G2625">
        <v>7080</v>
      </c>
      <c r="H2625" s="9">
        <v>40406</v>
      </c>
    </row>
    <row r="2626" spans="6:8">
      <c r="F2626">
        <v>36612</v>
      </c>
      <c r="G2626">
        <v>6026</v>
      </c>
      <c r="H2626" s="9">
        <v>40406</v>
      </c>
    </row>
    <row r="2627" spans="6:8">
      <c r="F2627">
        <v>36613</v>
      </c>
      <c r="G2627">
        <v>7489</v>
      </c>
      <c r="H2627" s="9">
        <v>40406</v>
      </c>
    </row>
    <row r="2628" spans="6:8">
      <c r="F2628">
        <v>36647</v>
      </c>
      <c r="G2628">
        <v>4189</v>
      </c>
      <c r="H2628" s="9">
        <v>40407</v>
      </c>
    </row>
    <row r="2629" spans="6:8">
      <c r="F2629">
        <v>36656</v>
      </c>
      <c r="G2629">
        <v>582</v>
      </c>
      <c r="H2629" s="9">
        <v>40407</v>
      </c>
    </row>
    <row r="2630" spans="6:8">
      <c r="F2630">
        <v>36674</v>
      </c>
      <c r="G2630">
        <v>6466</v>
      </c>
      <c r="H2630" s="9">
        <v>40407</v>
      </c>
    </row>
    <row r="2631" spans="6:8">
      <c r="F2631">
        <v>36679</v>
      </c>
      <c r="G2631">
        <v>7490</v>
      </c>
      <c r="H2631" s="9">
        <v>40407</v>
      </c>
    </row>
    <row r="2632" spans="6:8">
      <c r="F2632">
        <v>36699</v>
      </c>
      <c r="G2632">
        <v>2216</v>
      </c>
      <c r="H2632" s="9">
        <v>40409</v>
      </c>
    </row>
    <row r="2633" spans="6:8">
      <c r="F2633">
        <v>36704</v>
      </c>
      <c r="G2633">
        <v>740</v>
      </c>
      <c r="H2633" s="9">
        <v>40409</v>
      </c>
    </row>
    <row r="2634" spans="6:8">
      <c r="F2634">
        <v>36718</v>
      </c>
      <c r="G2634">
        <v>4681</v>
      </c>
      <c r="H2634" s="9">
        <v>40409</v>
      </c>
    </row>
    <row r="2635" spans="6:8">
      <c r="F2635">
        <v>36738</v>
      </c>
      <c r="G2635">
        <v>954</v>
      </c>
      <c r="H2635" s="9">
        <v>40410</v>
      </c>
    </row>
    <row r="2636" spans="6:8">
      <c r="F2636">
        <v>36752</v>
      </c>
      <c r="G2636">
        <v>4959</v>
      </c>
      <c r="H2636" s="9">
        <v>40410</v>
      </c>
    </row>
    <row r="2637" spans="6:8">
      <c r="F2637">
        <v>36757</v>
      </c>
      <c r="G2637">
        <v>7491</v>
      </c>
      <c r="H2637" s="9">
        <v>40410</v>
      </c>
    </row>
    <row r="2638" spans="6:8">
      <c r="F2638">
        <v>36758</v>
      </c>
      <c r="G2638">
        <v>4883</v>
      </c>
      <c r="H2638" s="9">
        <v>40410</v>
      </c>
    </row>
    <row r="2639" spans="6:8">
      <c r="F2639">
        <v>36765</v>
      </c>
      <c r="G2639">
        <v>6675</v>
      </c>
      <c r="H2639" s="9">
        <v>40413</v>
      </c>
    </row>
    <row r="2640" spans="6:8">
      <c r="F2640">
        <v>36787</v>
      </c>
      <c r="G2640">
        <v>3221</v>
      </c>
      <c r="H2640" s="9">
        <v>40413</v>
      </c>
    </row>
    <row r="2641" spans="6:8">
      <c r="F2641">
        <v>36799</v>
      </c>
      <c r="G2641">
        <v>1703</v>
      </c>
      <c r="H2641" s="9">
        <v>40414</v>
      </c>
    </row>
    <row r="2642" spans="6:8">
      <c r="F2642">
        <v>36811</v>
      </c>
      <c r="G2642">
        <v>2601</v>
      </c>
      <c r="H2642" s="9">
        <v>40414</v>
      </c>
    </row>
    <row r="2643" spans="6:8">
      <c r="F2643">
        <v>36818</v>
      </c>
      <c r="G2643">
        <v>2244</v>
      </c>
      <c r="H2643" s="9">
        <v>40414</v>
      </c>
    </row>
    <row r="2644" spans="6:8">
      <c r="F2644">
        <v>36821</v>
      </c>
      <c r="G2644">
        <v>2946</v>
      </c>
      <c r="H2644" s="9">
        <v>40414</v>
      </c>
    </row>
    <row r="2645" spans="6:8">
      <c r="F2645">
        <v>36838</v>
      </c>
      <c r="G2645">
        <v>7493</v>
      </c>
      <c r="H2645" s="9">
        <v>40414</v>
      </c>
    </row>
    <row r="2646" spans="6:8">
      <c r="F2646">
        <v>36839</v>
      </c>
      <c r="G2646">
        <v>7494</v>
      </c>
      <c r="H2646" s="9">
        <v>40414</v>
      </c>
    </row>
    <row r="2647" spans="6:8">
      <c r="F2647">
        <v>36840</v>
      </c>
      <c r="G2647">
        <v>3671</v>
      </c>
      <c r="H2647" s="9">
        <v>40414</v>
      </c>
    </row>
    <row r="2648" spans="6:8">
      <c r="F2648">
        <v>36867</v>
      </c>
      <c r="G2648">
        <v>7218</v>
      </c>
      <c r="H2648" s="9">
        <v>40415</v>
      </c>
    </row>
    <row r="2649" spans="6:8">
      <c r="F2649">
        <v>36872</v>
      </c>
      <c r="G2649">
        <v>7495</v>
      </c>
      <c r="H2649" s="9">
        <v>40415</v>
      </c>
    </row>
    <row r="2650" spans="6:8">
      <c r="F2650">
        <v>36873</v>
      </c>
      <c r="G2650">
        <v>7186</v>
      </c>
      <c r="H2650" s="9">
        <v>40415</v>
      </c>
    </row>
    <row r="2651" spans="6:8">
      <c r="F2651">
        <v>36875</v>
      </c>
      <c r="G2651">
        <v>7497</v>
      </c>
      <c r="H2651" s="9">
        <v>40415</v>
      </c>
    </row>
    <row r="2652" spans="6:8">
      <c r="F2652">
        <v>36878</v>
      </c>
      <c r="G2652">
        <v>978</v>
      </c>
      <c r="H2652" s="9">
        <v>40415</v>
      </c>
    </row>
    <row r="2653" spans="6:8">
      <c r="F2653">
        <v>36892</v>
      </c>
      <c r="G2653">
        <v>3753</v>
      </c>
      <c r="H2653" s="9">
        <v>40415</v>
      </c>
    </row>
    <row r="2654" spans="6:8">
      <c r="F2654">
        <v>36903</v>
      </c>
      <c r="G2654">
        <v>1992</v>
      </c>
      <c r="H2654" s="9">
        <v>40415</v>
      </c>
    </row>
    <row r="2655" spans="6:8">
      <c r="F2655">
        <v>36910</v>
      </c>
      <c r="G2655">
        <v>7500</v>
      </c>
      <c r="H2655" s="9">
        <v>40415</v>
      </c>
    </row>
    <row r="2656" spans="6:8">
      <c r="F2656">
        <v>36921</v>
      </c>
      <c r="G2656">
        <v>3362</v>
      </c>
      <c r="H2656" s="9">
        <v>40416</v>
      </c>
    </row>
    <row r="2657" spans="6:8">
      <c r="F2657">
        <v>36948</v>
      </c>
      <c r="G2657">
        <v>2899</v>
      </c>
      <c r="H2657" s="9">
        <v>40417</v>
      </c>
    </row>
    <row r="2658" spans="6:8">
      <c r="F2658">
        <v>36966</v>
      </c>
      <c r="G2658">
        <v>152</v>
      </c>
      <c r="H2658" s="9">
        <v>40417</v>
      </c>
    </row>
    <row r="2659" spans="6:8">
      <c r="F2659">
        <v>36982</v>
      </c>
      <c r="G2659">
        <v>3543</v>
      </c>
      <c r="H2659" s="9">
        <v>40417</v>
      </c>
    </row>
    <row r="2660" spans="6:8">
      <c r="F2660">
        <v>37012</v>
      </c>
      <c r="G2660">
        <v>3905</v>
      </c>
      <c r="H2660" s="9">
        <v>40420</v>
      </c>
    </row>
    <row r="2661" spans="6:8">
      <c r="F2661">
        <v>37040</v>
      </c>
      <c r="G2661">
        <v>5471</v>
      </c>
      <c r="H2661" s="9">
        <v>40421</v>
      </c>
    </row>
    <row r="2662" spans="6:8">
      <c r="F2662">
        <v>37043</v>
      </c>
      <c r="G2662">
        <v>848</v>
      </c>
      <c r="H2662" s="9">
        <v>40421</v>
      </c>
    </row>
    <row r="2663" spans="6:8">
      <c r="F2663">
        <v>37054</v>
      </c>
      <c r="G2663">
        <v>7508</v>
      </c>
      <c r="H2663" s="9">
        <v>40421</v>
      </c>
    </row>
    <row r="2664" spans="6:8">
      <c r="F2664">
        <v>37055</v>
      </c>
      <c r="G2664">
        <v>7509</v>
      </c>
      <c r="H2664" s="9">
        <v>40421</v>
      </c>
    </row>
    <row r="2665" spans="6:8">
      <c r="F2665">
        <v>37096</v>
      </c>
      <c r="G2665">
        <v>6777</v>
      </c>
      <c r="H2665" s="9">
        <v>40422</v>
      </c>
    </row>
    <row r="2666" spans="6:8">
      <c r="F2666">
        <v>37110</v>
      </c>
      <c r="G2666">
        <v>2273</v>
      </c>
      <c r="H2666" s="9">
        <v>40422</v>
      </c>
    </row>
    <row r="2667" spans="6:8">
      <c r="F2667">
        <v>37116</v>
      </c>
      <c r="G2667">
        <v>7043</v>
      </c>
      <c r="H2667" s="9">
        <v>40422</v>
      </c>
    </row>
    <row r="2668" spans="6:8">
      <c r="F2668">
        <v>37123</v>
      </c>
      <c r="G2668">
        <v>1999</v>
      </c>
      <c r="H2668" s="9">
        <v>40422</v>
      </c>
    </row>
    <row r="2669" spans="6:8">
      <c r="F2669">
        <v>37128</v>
      </c>
      <c r="G2669">
        <v>7515</v>
      </c>
      <c r="H2669" s="9">
        <v>40423</v>
      </c>
    </row>
    <row r="2670" spans="6:8">
      <c r="F2670">
        <v>37135</v>
      </c>
      <c r="G2670">
        <v>7525</v>
      </c>
      <c r="H2670" s="9">
        <v>40375</v>
      </c>
    </row>
    <row r="2671" spans="6:8">
      <c r="F2671">
        <v>37141</v>
      </c>
      <c r="G2671">
        <v>7531</v>
      </c>
      <c r="H2671" s="9">
        <v>40392</v>
      </c>
    </row>
    <row r="2672" spans="6:8">
      <c r="F2672">
        <v>37167</v>
      </c>
      <c r="G2672">
        <v>7539</v>
      </c>
      <c r="H2672" s="9">
        <v>40274</v>
      </c>
    </row>
    <row r="2673" spans="6:8">
      <c r="F2673">
        <v>37180</v>
      </c>
      <c r="G2673">
        <v>4800</v>
      </c>
      <c r="H2673" s="9">
        <v>40423</v>
      </c>
    </row>
    <row r="2674" spans="6:8">
      <c r="F2674">
        <v>37185</v>
      </c>
      <c r="G2674">
        <v>7544</v>
      </c>
      <c r="H2674" s="9">
        <v>40424</v>
      </c>
    </row>
    <row r="2675" spans="6:8">
      <c r="F2675">
        <v>37197</v>
      </c>
      <c r="G2675">
        <v>1917</v>
      </c>
      <c r="H2675" s="9">
        <v>40424</v>
      </c>
    </row>
    <row r="2676" spans="6:8">
      <c r="F2676">
        <v>37287</v>
      </c>
      <c r="G2676">
        <v>5417</v>
      </c>
      <c r="H2676" s="9">
        <v>40428</v>
      </c>
    </row>
    <row r="2677" spans="6:8">
      <c r="F2677">
        <v>37310</v>
      </c>
      <c r="G2677">
        <v>2566</v>
      </c>
      <c r="H2677" s="9">
        <v>40428</v>
      </c>
    </row>
    <row r="2678" spans="6:8">
      <c r="F2678">
        <v>37314</v>
      </c>
      <c r="G2678">
        <v>3384</v>
      </c>
      <c r="H2678" s="9">
        <v>40428</v>
      </c>
    </row>
    <row r="2679" spans="6:8">
      <c r="F2679">
        <v>37315</v>
      </c>
      <c r="G2679">
        <v>6179</v>
      </c>
      <c r="H2679" s="9">
        <v>40428</v>
      </c>
    </row>
    <row r="2680" spans="6:8">
      <c r="F2680">
        <v>37322</v>
      </c>
      <c r="G2680">
        <v>3049</v>
      </c>
      <c r="H2680" s="9">
        <v>40428</v>
      </c>
    </row>
    <row r="2681" spans="6:8">
      <c r="F2681">
        <v>37326</v>
      </c>
      <c r="G2681">
        <v>5342</v>
      </c>
      <c r="H2681" s="9">
        <v>40428</v>
      </c>
    </row>
    <row r="2682" spans="6:8">
      <c r="F2682">
        <v>37350</v>
      </c>
      <c r="G2682">
        <v>634</v>
      </c>
      <c r="H2682" s="9">
        <v>40428</v>
      </c>
    </row>
    <row r="2683" spans="6:8">
      <c r="F2683">
        <v>37382</v>
      </c>
      <c r="G2683">
        <v>3526</v>
      </c>
      <c r="H2683" s="9">
        <v>40429</v>
      </c>
    </row>
    <row r="2684" spans="6:8">
      <c r="F2684">
        <v>37384</v>
      </c>
      <c r="G2684">
        <v>7545</v>
      </c>
      <c r="H2684" s="9">
        <v>40429</v>
      </c>
    </row>
    <row r="2685" spans="6:8">
      <c r="F2685">
        <v>37396</v>
      </c>
      <c r="G2685">
        <v>5954</v>
      </c>
      <c r="H2685" s="9">
        <v>40430</v>
      </c>
    </row>
    <row r="2686" spans="6:8">
      <c r="F2686">
        <v>37398</v>
      </c>
      <c r="G2686">
        <v>3533</v>
      </c>
      <c r="H2686" s="9">
        <v>40430</v>
      </c>
    </row>
    <row r="2687" spans="6:8">
      <c r="F2687">
        <v>37403</v>
      </c>
      <c r="G2687">
        <v>2811</v>
      </c>
      <c r="H2687" s="9">
        <v>40436</v>
      </c>
    </row>
    <row r="2688" spans="6:8">
      <c r="F2688">
        <v>37405</v>
      </c>
      <c r="G2688">
        <v>1370</v>
      </c>
      <c r="H2688" s="9">
        <v>40436</v>
      </c>
    </row>
    <row r="2689" spans="6:8">
      <c r="F2689">
        <v>37444</v>
      </c>
      <c r="G2689">
        <v>214</v>
      </c>
      <c r="H2689" s="9">
        <v>40436</v>
      </c>
    </row>
    <row r="2690" spans="6:8">
      <c r="F2690">
        <v>37453</v>
      </c>
      <c r="G2690">
        <v>7430</v>
      </c>
      <c r="H2690" s="9">
        <v>40436</v>
      </c>
    </row>
    <row r="2691" spans="6:8">
      <c r="F2691">
        <v>37490</v>
      </c>
      <c r="G2691">
        <v>5895</v>
      </c>
      <c r="H2691" s="9">
        <v>40437</v>
      </c>
    </row>
    <row r="2692" spans="6:8">
      <c r="F2692">
        <v>37492</v>
      </c>
      <c r="G2692">
        <v>828</v>
      </c>
      <c r="H2692" s="9">
        <v>40437</v>
      </c>
    </row>
    <row r="2693" spans="6:8">
      <c r="F2693">
        <v>37506</v>
      </c>
      <c r="G2693">
        <v>7559</v>
      </c>
      <c r="H2693" s="9">
        <v>40437</v>
      </c>
    </row>
    <row r="2694" spans="6:8">
      <c r="F2694">
        <v>37521</v>
      </c>
      <c r="G2694">
        <v>1031</v>
      </c>
      <c r="H2694" s="9">
        <v>40437</v>
      </c>
    </row>
    <row r="2695" spans="6:8">
      <c r="F2695">
        <v>37528</v>
      </c>
      <c r="G2695">
        <v>1009</v>
      </c>
      <c r="H2695" s="9">
        <v>40437</v>
      </c>
    </row>
    <row r="2696" spans="6:8">
      <c r="F2696">
        <v>37534</v>
      </c>
      <c r="G2696">
        <v>7561</v>
      </c>
      <c r="H2696" s="9">
        <v>40437</v>
      </c>
    </row>
    <row r="2697" spans="6:8">
      <c r="F2697">
        <v>37550</v>
      </c>
      <c r="G2697">
        <v>6465</v>
      </c>
      <c r="H2697" s="9">
        <v>40437</v>
      </c>
    </row>
    <row r="2698" spans="6:8">
      <c r="F2698">
        <v>37551</v>
      </c>
      <c r="G2698">
        <v>5439</v>
      </c>
      <c r="H2698" s="9">
        <v>40437</v>
      </c>
    </row>
    <row r="2699" spans="6:8">
      <c r="F2699">
        <v>37560</v>
      </c>
      <c r="G2699">
        <v>7207</v>
      </c>
      <c r="H2699" s="9">
        <v>40437</v>
      </c>
    </row>
    <row r="2700" spans="6:8">
      <c r="F2700">
        <v>37562</v>
      </c>
      <c r="G2700">
        <v>6849</v>
      </c>
      <c r="H2700" s="9">
        <v>40437</v>
      </c>
    </row>
    <row r="2701" spans="6:8">
      <c r="F2701">
        <v>37583</v>
      </c>
      <c r="G2701">
        <v>7086</v>
      </c>
      <c r="H2701" s="9">
        <v>40441</v>
      </c>
    </row>
    <row r="2702" spans="6:8">
      <c r="F2702">
        <v>37584</v>
      </c>
      <c r="G2702">
        <v>7086</v>
      </c>
      <c r="H2702" s="9">
        <v>40441</v>
      </c>
    </row>
    <row r="2703" spans="6:8">
      <c r="F2703">
        <v>37598</v>
      </c>
      <c r="G2703">
        <v>2542</v>
      </c>
      <c r="H2703" s="9">
        <v>40441</v>
      </c>
    </row>
    <row r="2704" spans="6:8">
      <c r="F2704">
        <v>37613</v>
      </c>
      <c r="G2704">
        <v>4049</v>
      </c>
      <c r="H2704" s="9">
        <v>40441</v>
      </c>
    </row>
    <row r="2705" spans="6:8">
      <c r="F2705">
        <v>37628</v>
      </c>
      <c r="G2705">
        <v>1930</v>
      </c>
      <c r="H2705" s="9">
        <v>40444</v>
      </c>
    </row>
    <row r="2706" spans="6:8">
      <c r="F2706">
        <v>37637</v>
      </c>
      <c r="G2706">
        <v>2843</v>
      </c>
      <c r="H2706" s="9">
        <v>40444</v>
      </c>
    </row>
    <row r="2707" spans="6:8">
      <c r="F2707">
        <v>37640</v>
      </c>
      <c r="G2707">
        <v>254</v>
      </c>
      <c r="H2707" s="9">
        <v>40444</v>
      </c>
    </row>
    <row r="2708" spans="6:8">
      <c r="F2708">
        <v>37644</v>
      </c>
      <c r="G2708">
        <v>475</v>
      </c>
      <c r="H2708" s="9">
        <v>40445</v>
      </c>
    </row>
    <row r="2709" spans="6:8">
      <c r="F2709">
        <v>37702</v>
      </c>
      <c r="G2709">
        <v>2166</v>
      </c>
      <c r="H2709" s="9">
        <v>40445</v>
      </c>
    </row>
    <row r="2710" spans="6:8">
      <c r="F2710">
        <v>37707</v>
      </c>
      <c r="G2710">
        <v>6333</v>
      </c>
      <c r="H2710" s="9">
        <v>40445</v>
      </c>
    </row>
    <row r="2711" spans="6:8">
      <c r="F2711">
        <v>37713</v>
      </c>
      <c r="G2711">
        <v>4777</v>
      </c>
      <c r="H2711" s="9">
        <v>40445</v>
      </c>
    </row>
    <row r="2712" spans="6:8">
      <c r="F2712">
        <v>37754</v>
      </c>
      <c r="G2712">
        <v>565</v>
      </c>
      <c r="H2712" s="9">
        <v>40455</v>
      </c>
    </row>
    <row r="2713" spans="6:8">
      <c r="F2713">
        <v>37757</v>
      </c>
      <c r="G2713">
        <v>7567</v>
      </c>
      <c r="H2713" s="9">
        <v>40455</v>
      </c>
    </row>
    <row r="2714" spans="6:8">
      <c r="F2714">
        <v>37759</v>
      </c>
      <c r="G2714">
        <v>2582</v>
      </c>
      <c r="H2714" s="9">
        <v>40455</v>
      </c>
    </row>
    <row r="2715" spans="6:8">
      <c r="F2715">
        <v>37788</v>
      </c>
      <c r="G2715">
        <v>5578</v>
      </c>
      <c r="H2715" s="9">
        <v>40455</v>
      </c>
    </row>
    <row r="2716" spans="6:8">
      <c r="F2716">
        <v>37812</v>
      </c>
      <c r="G2716">
        <v>7569</v>
      </c>
      <c r="H2716" s="9">
        <v>40455</v>
      </c>
    </row>
    <row r="2717" spans="6:8">
      <c r="F2717">
        <v>37816</v>
      </c>
      <c r="G2717">
        <v>6916</v>
      </c>
      <c r="H2717" s="9">
        <v>40455</v>
      </c>
    </row>
    <row r="2718" spans="6:8">
      <c r="F2718">
        <v>37845</v>
      </c>
      <c r="G2718">
        <v>599</v>
      </c>
      <c r="H2718" s="9">
        <v>40455</v>
      </c>
    </row>
    <row r="2719" spans="6:8">
      <c r="F2719">
        <v>37847</v>
      </c>
      <c r="G2719">
        <v>2280</v>
      </c>
      <c r="H2719" s="9">
        <v>40455</v>
      </c>
    </row>
    <row r="2720" spans="6:8">
      <c r="F2720">
        <v>37853</v>
      </c>
      <c r="G2720">
        <v>7570</v>
      </c>
      <c r="H2720" s="9">
        <v>40455</v>
      </c>
    </row>
    <row r="2721" spans="6:8">
      <c r="F2721">
        <v>37864</v>
      </c>
      <c r="G2721">
        <v>6649</v>
      </c>
      <c r="H2721" s="9">
        <v>40455</v>
      </c>
    </row>
    <row r="2722" spans="6:8">
      <c r="F2722">
        <v>37875</v>
      </c>
      <c r="G2722">
        <v>6534</v>
      </c>
      <c r="H2722" s="9">
        <v>40455</v>
      </c>
    </row>
    <row r="2723" spans="6:8">
      <c r="F2723">
        <v>37910</v>
      </c>
      <c r="G2723">
        <v>2889</v>
      </c>
      <c r="H2723" s="9">
        <v>40456</v>
      </c>
    </row>
    <row r="2724" spans="6:8">
      <c r="F2724">
        <v>37918</v>
      </c>
      <c r="G2724">
        <v>1601</v>
      </c>
      <c r="H2724" s="9">
        <v>40456</v>
      </c>
    </row>
    <row r="2725" spans="6:8">
      <c r="F2725">
        <v>37952</v>
      </c>
      <c r="G2725">
        <v>1993</v>
      </c>
      <c r="H2725" s="9">
        <v>40457</v>
      </c>
    </row>
    <row r="2726" spans="6:8">
      <c r="F2726">
        <v>37957</v>
      </c>
      <c r="G2726">
        <v>7145</v>
      </c>
      <c r="H2726" s="9">
        <v>40457</v>
      </c>
    </row>
    <row r="2727" spans="6:8">
      <c r="F2727">
        <v>37959</v>
      </c>
      <c r="G2727">
        <v>1560</v>
      </c>
      <c r="H2727" s="9">
        <v>40457</v>
      </c>
    </row>
    <row r="2728" spans="6:8">
      <c r="F2728">
        <v>38060</v>
      </c>
      <c r="G2728">
        <v>726</v>
      </c>
      <c r="H2728" s="9">
        <v>40458</v>
      </c>
    </row>
    <row r="2729" spans="6:8">
      <c r="F2729">
        <v>38100</v>
      </c>
      <c r="G2729">
        <v>459</v>
      </c>
      <c r="H2729" s="9">
        <v>40458</v>
      </c>
    </row>
    <row r="2730" spans="6:8">
      <c r="F2730">
        <v>38102</v>
      </c>
      <c r="G2730">
        <v>6585</v>
      </c>
      <c r="H2730" s="9">
        <v>40458</v>
      </c>
    </row>
    <row r="2731" spans="6:8">
      <c r="F2731">
        <v>38105</v>
      </c>
      <c r="G2731">
        <v>5855</v>
      </c>
      <c r="H2731" s="9">
        <v>40458</v>
      </c>
    </row>
    <row r="2732" spans="6:8">
      <c r="F2732">
        <v>38132</v>
      </c>
      <c r="G2732">
        <v>4267</v>
      </c>
      <c r="H2732" s="9">
        <v>40459</v>
      </c>
    </row>
    <row r="2733" spans="6:8">
      <c r="F2733">
        <v>38141</v>
      </c>
      <c r="G2733">
        <v>1899</v>
      </c>
      <c r="H2733" s="9">
        <v>40459</v>
      </c>
    </row>
    <row r="2734" spans="6:8">
      <c r="F2734">
        <v>38164</v>
      </c>
      <c r="G2734">
        <v>5943</v>
      </c>
      <c r="H2734" s="9">
        <v>40462</v>
      </c>
    </row>
    <row r="2735" spans="6:8">
      <c r="F2735">
        <v>38169</v>
      </c>
      <c r="G2735">
        <v>6692</v>
      </c>
      <c r="H2735" s="9">
        <v>40462</v>
      </c>
    </row>
    <row r="2736" spans="6:8">
      <c r="F2736">
        <v>38171</v>
      </c>
      <c r="G2736">
        <v>5395</v>
      </c>
      <c r="H2736" s="9">
        <v>40462</v>
      </c>
    </row>
    <row r="2737" spans="6:8">
      <c r="F2737">
        <v>38175</v>
      </c>
      <c r="G2737">
        <v>5102</v>
      </c>
      <c r="H2737" s="9">
        <v>40462</v>
      </c>
    </row>
    <row r="2738" spans="6:8">
      <c r="F2738">
        <v>38184</v>
      </c>
      <c r="G2738">
        <v>2556</v>
      </c>
      <c r="H2738" s="9">
        <v>40462</v>
      </c>
    </row>
    <row r="2739" spans="6:8">
      <c r="F2739">
        <v>38267</v>
      </c>
      <c r="G2739">
        <v>6974</v>
      </c>
      <c r="H2739" s="9">
        <v>40464</v>
      </c>
    </row>
    <row r="2740" spans="6:8">
      <c r="F2740">
        <v>38268</v>
      </c>
      <c r="G2740">
        <v>5693</v>
      </c>
      <c r="H2740" s="9">
        <v>40464</v>
      </c>
    </row>
    <row r="2741" spans="6:8">
      <c r="F2741">
        <v>38270</v>
      </c>
      <c r="G2741">
        <v>2664</v>
      </c>
      <c r="H2741" s="9">
        <v>40464</v>
      </c>
    </row>
    <row r="2742" spans="6:8">
      <c r="F2742">
        <v>38298</v>
      </c>
      <c r="G2742">
        <v>1657</v>
      </c>
      <c r="H2742" s="9">
        <v>40464</v>
      </c>
    </row>
    <row r="2743" spans="6:8">
      <c r="F2743">
        <v>38310</v>
      </c>
      <c r="G2743">
        <v>5859</v>
      </c>
      <c r="H2743" s="9">
        <v>40465</v>
      </c>
    </row>
    <row r="2744" spans="6:8">
      <c r="F2744">
        <v>38311</v>
      </c>
      <c r="G2744">
        <v>4710</v>
      </c>
      <c r="H2744" s="9">
        <v>40465</v>
      </c>
    </row>
    <row r="2745" spans="6:8">
      <c r="F2745">
        <v>38394</v>
      </c>
      <c r="G2745">
        <v>654</v>
      </c>
      <c r="H2745" s="9">
        <v>40470</v>
      </c>
    </row>
    <row r="2746" spans="6:8">
      <c r="F2746">
        <v>38407</v>
      </c>
      <c r="G2746">
        <v>7583</v>
      </c>
      <c r="H2746" s="9">
        <v>40470</v>
      </c>
    </row>
    <row r="2747" spans="6:8">
      <c r="F2747">
        <v>38458</v>
      </c>
      <c r="G2747">
        <v>2143</v>
      </c>
      <c r="H2747" s="9">
        <v>40470</v>
      </c>
    </row>
    <row r="2748" spans="6:8">
      <c r="F2748">
        <v>38476</v>
      </c>
      <c r="G2748">
        <v>4548</v>
      </c>
      <c r="H2748" s="9">
        <v>40470</v>
      </c>
    </row>
    <row r="2749" spans="6:8">
      <c r="F2749">
        <v>38493</v>
      </c>
      <c r="G2749">
        <v>7585</v>
      </c>
      <c r="H2749" s="9">
        <v>40470</v>
      </c>
    </row>
    <row r="2750" spans="6:8">
      <c r="F2750">
        <v>38496</v>
      </c>
      <c r="G2750">
        <v>4399</v>
      </c>
      <c r="H2750" s="9">
        <v>40471</v>
      </c>
    </row>
    <row r="2751" spans="6:8">
      <c r="F2751">
        <v>38497</v>
      </c>
      <c r="G2751">
        <v>7588</v>
      </c>
      <c r="H2751" s="9">
        <v>40471</v>
      </c>
    </row>
    <row r="2752" spans="6:8">
      <c r="F2752">
        <v>38511</v>
      </c>
      <c r="G2752">
        <v>1964</v>
      </c>
      <c r="H2752" s="9">
        <v>40471</v>
      </c>
    </row>
    <row r="2753" spans="6:8">
      <c r="F2753">
        <v>38529</v>
      </c>
      <c r="G2753">
        <v>2368</v>
      </c>
      <c r="H2753" s="9">
        <v>40471</v>
      </c>
    </row>
    <row r="2754" spans="6:8">
      <c r="F2754">
        <v>38565</v>
      </c>
      <c r="G2754">
        <v>3126</v>
      </c>
      <c r="H2754" s="9">
        <v>40472</v>
      </c>
    </row>
    <row r="2755" spans="6:8">
      <c r="F2755">
        <v>38566</v>
      </c>
      <c r="G2755">
        <v>4446</v>
      </c>
      <c r="H2755" s="9">
        <v>40472</v>
      </c>
    </row>
    <row r="2756" spans="6:8">
      <c r="F2756">
        <v>38568</v>
      </c>
      <c r="G2756">
        <v>7589</v>
      </c>
      <c r="H2756" s="9">
        <v>40472</v>
      </c>
    </row>
    <row r="2757" spans="6:8">
      <c r="F2757">
        <v>38574</v>
      </c>
      <c r="G2757">
        <v>4760</v>
      </c>
      <c r="H2757" s="9">
        <v>40472</v>
      </c>
    </row>
    <row r="2758" spans="6:8">
      <c r="F2758">
        <v>38599</v>
      </c>
      <c r="G2758">
        <v>2418</v>
      </c>
      <c r="H2758" s="9">
        <v>40472</v>
      </c>
    </row>
    <row r="2759" spans="6:8">
      <c r="F2759">
        <v>38681</v>
      </c>
      <c r="G2759">
        <v>4328</v>
      </c>
      <c r="H2759" s="9">
        <v>40476</v>
      </c>
    </row>
    <row r="2760" spans="6:8">
      <c r="F2760">
        <v>38685</v>
      </c>
      <c r="G2760">
        <v>6710</v>
      </c>
      <c r="H2760" s="9">
        <v>40476</v>
      </c>
    </row>
    <row r="2761" spans="6:8">
      <c r="F2761">
        <v>38732</v>
      </c>
      <c r="G2761">
        <v>2067</v>
      </c>
      <c r="H2761" s="9">
        <v>40478</v>
      </c>
    </row>
    <row r="2762" spans="6:8">
      <c r="F2762">
        <v>38737</v>
      </c>
      <c r="G2762">
        <v>951</v>
      </c>
      <c r="H2762" s="9">
        <v>40479</v>
      </c>
    </row>
    <row r="2763" spans="6:8">
      <c r="F2763">
        <v>38752</v>
      </c>
      <c r="G2763">
        <v>5478</v>
      </c>
      <c r="H2763" s="9">
        <v>40478</v>
      </c>
    </row>
    <row r="2764" spans="6:8">
      <c r="F2764">
        <v>38758</v>
      </c>
      <c r="G2764">
        <v>7592</v>
      </c>
      <c r="H2764" s="9">
        <v>40478</v>
      </c>
    </row>
    <row r="2765" spans="6:8">
      <c r="F2765">
        <v>38759</v>
      </c>
      <c r="G2765">
        <v>7593</v>
      </c>
      <c r="H2765" s="9">
        <v>40478</v>
      </c>
    </row>
    <row r="2766" spans="6:8">
      <c r="F2766">
        <v>38884</v>
      </c>
      <c r="G2766">
        <v>91</v>
      </c>
      <c r="H2766" s="9">
        <v>40484</v>
      </c>
    </row>
    <row r="2767" spans="6:8">
      <c r="F2767">
        <v>38899</v>
      </c>
      <c r="G2767">
        <v>4318</v>
      </c>
      <c r="H2767" s="9">
        <v>40484</v>
      </c>
    </row>
    <row r="2768" spans="6:8">
      <c r="F2768">
        <v>38902</v>
      </c>
      <c r="G2768">
        <v>4579</v>
      </c>
      <c r="H2768" s="9">
        <v>40484</v>
      </c>
    </row>
    <row r="2769" spans="6:8">
      <c r="F2769">
        <v>38925</v>
      </c>
      <c r="G2769">
        <v>2230</v>
      </c>
      <c r="H2769" s="9">
        <v>40485</v>
      </c>
    </row>
    <row r="2770" spans="6:8">
      <c r="F2770">
        <v>38927</v>
      </c>
      <c r="G2770">
        <v>7602</v>
      </c>
      <c r="H2770" s="9">
        <v>40465</v>
      </c>
    </row>
    <row r="2771" spans="6:8">
      <c r="F2771">
        <v>38942</v>
      </c>
      <c r="G2771">
        <v>7614</v>
      </c>
      <c r="H2771" s="9">
        <v>40476</v>
      </c>
    </row>
    <row r="2772" spans="6:8">
      <c r="F2772">
        <v>38946</v>
      </c>
      <c r="G2772">
        <v>192</v>
      </c>
      <c r="H2772" s="9">
        <v>40485</v>
      </c>
    </row>
    <row r="2773" spans="6:8">
      <c r="F2773">
        <v>38958</v>
      </c>
      <c r="G2773">
        <v>6401</v>
      </c>
      <c r="H2773" s="9">
        <v>40485</v>
      </c>
    </row>
    <row r="2774" spans="6:8">
      <c r="F2774">
        <v>38960</v>
      </c>
      <c r="G2774">
        <v>14</v>
      </c>
      <c r="H2774" s="9">
        <v>40485</v>
      </c>
    </row>
    <row r="2775" spans="6:8">
      <c r="F2775">
        <v>38971</v>
      </c>
      <c r="G2775">
        <v>324</v>
      </c>
      <c r="H2775" s="9">
        <v>40485</v>
      </c>
    </row>
    <row r="2776" spans="6:8">
      <c r="F2776">
        <v>38975</v>
      </c>
      <c r="G2776">
        <v>5508</v>
      </c>
      <c r="H2776" s="9">
        <v>40485</v>
      </c>
    </row>
    <row r="2777" spans="6:8">
      <c r="F2777">
        <v>38994</v>
      </c>
      <c r="G2777">
        <v>5531</v>
      </c>
      <c r="H2777" s="9">
        <v>40486</v>
      </c>
    </row>
    <row r="2778" spans="6:8">
      <c r="F2778">
        <v>39000</v>
      </c>
      <c r="G2778">
        <v>3486</v>
      </c>
      <c r="H2778" s="9">
        <v>40486</v>
      </c>
    </row>
    <row r="2779" spans="6:8">
      <c r="F2779">
        <v>39003</v>
      </c>
      <c r="G2779">
        <v>1603</v>
      </c>
      <c r="H2779" s="9">
        <v>40486</v>
      </c>
    </row>
    <row r="2780" spans="6:8">
      <c r="F2780">
        <v>39014</v>
      </c>
      <c r="G2780">
        <v>1341</v>
      </c>
      <c r="H2780" s="9">
        <v>40486</v>
      </c>
    </row>
    <row r="2781" spans="6:8">
      <c r="F2781">
        <v>39022</v>
      </c>
      <c r="G2781">
        <v>257</v>
      </c>
      <c r="H2781" s="9">
        <v>40486</v>
      </c>
    </row>
    <row r="2782" spans="6:8">
      <c r="F2782">
        <v>39040</v>
      </c>
      <c r="G2782">
        <v>2879</v>
      </c>
      <c r="H2782" s="9">
        <v>40486</v>
      </c>
    </row>
    <row r="2783" spans="6:8">
      <c r="F2783">
        <v>39054</v>
      </c>
      <c r="G2783">
        <v>7420</v>
      </c>
      <c r="H2783" s="9">
        <v>40486</v>
      </c>
    </row>
    <row r="2784" spans="6:8">
      <c r="F2784">
        <v>39071</v>
      </c>
      <c r="G2784">
        <v>7064</v>
      </c>
      <c r="H2784" s="9">
        <v>40486</v>
      </c>
    </row>
    <row r="2785" spans="6:8">
      <c r="F2785">
        <v>39072</v>
      </c>
      <c r="G2785">
        <v>1861</v>
      </c>
      <c r="H2785" s="9">
        <v>40486</v>
      </c>
    </row>
    <row r="2786" spans="6:8">
      <c r="F2786">
        <v>39092</v>
      </c>
      <c r="G2786">
        <v>7528</v>
      </c>
      <c r="H2786" s="9">
        <v>40486</v>
      </c>
    </row>
    <row r="2787" spans="6:8">
      <c r="F2787">
        <v>39107</v>
      </c>
      <c r="G2787">
        <v>814</v>
      </c>
      <c r="H2787" s="9">
        <v>40486</v>
      </c>
    </row>
    <row r="2788" spans="6:8">
      <c r="F2788">
        <v>39156</v>
      </c>
      <c r="G2788">
        <v>601</v>
      </c>
      <c r="H2788" s="9">
        <v>40490</v>
      </c>
    </row>
    <row r="2789" spans="6:8">
      <c r="F2789">
        <v>39168</v>
      </c>
      <c r="G2789">
        <v>1312</v>
      </c>
      <c r="H2789" s="9">
        <v>40490</v>
      </c>
    </row>
    <row r="2790" spans="6:8">
      <c r="F2790">
        <v>39175</v>
      </c>
      <c r="G2790">
        <v>4740</v>
      </c>
      <c r="H2790" s="9">
        <v>40490</v>
      </c>
    </row>
    <row r="2791" spans="6:8">
      <c r="F2791">
        <v>39176</v>
      </c>
      <c r="G2791">
        <v>5397</v>
      </c>
      <c r="H2791" s="9">
        <v>40490</v>
      </c>
    </row>
    <row r="2792" spans="6:8">
      <c r="F2792">
        <v>39179</v>
      </c>
      <c r="G2792">
        <v>7400</v>
      </c>
      <c r="H2792" s="9">
        <v>40490</v>
      </c>
    </row>
    <row r="2793" spans="6:8">
      <c r="F2793">
        <v>39194</v>
      </c>
      <c r="G2793">
        <v>7623</v>
      </c>
      <c r="H2793" s="9">
        <v>40491</v>
      </c>
    </row>
    <row r="2794" spans="6:8">
      <c r="F2794">
        <v>39208</v>
      </c>
      <c r="G2794">
        <v>7354</v>
      </c>
      <c r="H2794" s="9">
        <v>40491</v>
      </c>
    </row>
    <row r="2795" spans="6:8">
      <c r="F2795">
        <v>39210</v>
      </c>
      <c r="G2795">
        <v>7637</v>
      </c>
      <c r="H2795" s="9">
        <v>40491</v>
      </c>
    </row>
    <row r="2796" spans="6:8">
      <c r="F2796">
        <v>39241</v>
      </c>
      <c r="G2796">
        <v>1851</v>
      </c>
      <c r="H2796" s="9">
        <v>40491</v>
      </c>
    </row>
    <row r="2797" spans="6:8">
      <c r="F2797">
        <v>39252</v>
      </c>
      <c r="G2797">
        <v>7117</v>
      </c>
      <c r="H2797" s="9">
        <v>40491</v>
      </c>
    </row>
    <row r="2798" spans="6:8">
      <c r="F2798">
        <v>39264</v>
      </c>
      <c r="G2798">
        <v>4656</v>
      </c>
      <c r="H2798" s="9">
        <v>40492</v>
      </c>
    </row>
    <row r="2799" spans="6:8">
      <c r="F2799">
        <v>39291</v>
      </c>
      <c r="G2799">
        <v>7048</v>
      </c>
      <c r="H2799" s="9">
        <v>40492</v>
      </c>
    </row>
    <row r="2800" spans="6:8">
      <c r="F2800">
        <v>39330</v>
      </c>
      <c r="G2800">
        <v>2331</v>
      </c>
      <c r="H2800" s="9">
        <v>40493</v>
      </c>
    </row>
    <row r="2801" spans="6:8">
      <c r="F2801">
        <v>39367</v>
      </c>
      <c r="G2801">
        <v>2365</v>
      </c>
      <c r="H2801" s="9">
        <v>40494</v>
      </c>
    </row>
    <row r="2802" spans="6:8">
      <c r="F2802">
        <v>39376</v>
      </c>
      <c r="G2802">
        <v>4859</v>
      </c>
      <c r="H2802" s="9">
        <v>40494</v>
      </c>
    </row>
    <row r="2803" spans="6:8">
      <c r="F2803">
        <v>39377</v>
      </c>
      <c r="G2803">
        <v>4958</v>
      </c>
      <c r="H2803" s="9">
        <v>40494</v>
      </c>
    </row>
    <row r="2804" spans="6:8">
      <c r="F2804">
        <v>39390</v>
      </c>
      <c r="G2804">
        <v>6557</v>
      </c>
      <c r="H2804" s="9">
        <v>40494</v>
      </c>
    </row>
    <row r="2805" spans="6:8">
      <c r="F2805">
        <v>39393</v>
      </c>
      <c r="G2805">
        <v>6145</v>
      </c>
      <c r="H2805" s="9">
        <v>40494</v>
      </c>
    </row>
    <row r="2806" spans="6:8">
      <c r="F2806">
        <v>39443</v>
      </c>
      <c r="G2806">
        <v>6920</v>
      </c>
      <c r="H2806" s="9">
        <v>40497</v>
      </c>
    </row>
    <row r="2807" spans="6:8">
      <c r="F2807">
        <v>39450</v>
      </c>
      <c r="G2807">
        <v>4670</v>
      </c>
      <c r="H2807" s="9">
        <v>40497</v>
      </c>
    </row>
    <row r="2808" spans="6:8">
      <c r="F2808">
        <v>39464</v>
      </c>
      <c r="G2808">
        <v>6568</v>
      </c>
      <c r="H2808" s="9">
        <v>40497</v>
      </c>
    </row>
    <row r="2809" spans="6:8">
      <c r="F2809">
        <v>39503</v>
      </c>
      <c r="G2809">
        <v>6273</v>
      </c>
      <c r="H2809" s="9">
        <v>40500</v>
      </c>
    </row>
    <row r="2810" spans="6:8">
      <c r="F2810">
        <v>39507</v>
      </c>
      <c r="G2810">
        <v>2116</v>
      </c>
      <c r="H2810" s="9">
        <v>40500</v>
      </c>
    </row>
    <row r="2811" spans="6:8">
      <c r="F2811">
        <v>39523</v>
      </c>
      <c r="G2811">
        <v>5179</v>
      </c>
      <c r="H2811" s="9">
        <v>40500</v>
      </c>
    </row>
    <row r="2812" spans="6:8">
      <c r="F2812">
        <v>39524</v>
      </c>
      <c r="G2812">
        <v>3447</v>
      </c>
      <c r="H2812" s="9">
        <v>40500</v>
      </c>
    </row>
    <row r="2813" spans="6:8">
      <c r="F2813">
        <v>39528</v>
      </c>
      <c r="G2813">
        <v>5388</v>
      </c>
      <c r="H2813" s="9">
        <v>40500</v>
      </c>
    </row>
    <row r="2814" spans="6:8">
      <c r="F2814">
        <v>39553</v>
      </c>
      <c r="G2814">
        <v>4137</v>
      </c>
      <c r="H2814" s="9">
        <v>40500</v>
      </c>
    </row>
    <row r="2815" spans="6:8">
      <c r="F2815">
        <v>39567</v>
      </c>
      <c r="G2815">
        <v>1898</v>
      </c>
      <c r="H2815" s="9">
        <v>40500</v>
      </c>
    </row>
    <row r="2816" spans="6:8">
      <c r="F2816">
        <v>39570</v>
      </c>
      <c r="G2816">
        <v>1974</v>
      </c>
      <c r="H2816" s="9">
        <v>40500</v>
      </c>
    </row>
    <row r="2817" spans="6:8">
      <c r="F2817">
        <v>39586</v>
      </c>
      <c r="G2817">
        <v>6932</v>
      </c>
      <c r="H2817" s="9">
        <v>40500</v>
      </c>
    </row>
    <row r="2818" spans="6:8">
      <c r="F2818">
        <v>39589</v>
      </c>
      <c r="G2818">
        <v>7044</v>
      </c>
      <c r="H2818" s="9">
        <v>40500</v>
      </c>
    </row>
    <row r="2819" spans="6:8">
      <c r="F2819">
        <v>39590</v>
      </c>
      <c r="G2819">
        <v>4271</v>
      </c>
      <c r="H2819" s="9">
        <v>40501</v>
      </c>
    </row>
    <row r="2820" spans="6:8">
      <c r="F2820">
        <v>39592</v>
      </c>
      <c r="G2820">
        <v>2846</v>
      </c>
      <c r="H2820" s="9">
        <v>40501</v>
      </c>
    </row>
    <row r="2821" spans="6:8">
      <c r="F2821">
        <v>39593</v>
      </c>
      <c r="G2821">
        <v>4519</v>
      </c>
      <c r="H2821" s="9">
        <v>40501</v>
      </c>
    </row>
    <row r="2822" spans="6:8">
      <c r="F2822">
        <v>39614</v>
      </c>
      <c r="G2822">
        <v>850</v>
      </c>
      <c r="H2822" s="9">
        <v>40501</v>
      </c>
    </row>
    <row r="2823" spans="6:8">
      <c r="F2823">
        <v>39622</v>
      </c>
      <c r="G2823">
        <v>3893</v>
      </c>
      <c r="H2823" s="9">
        <v>40501</v>
      </c>
    </row>
    <row r="2824" spans="6:8">
      <c r="F2824">
        <v>39639</v>
      </c>
      <c r="G2824">
        <v>7121</v>
      </c>
      <c r="H2824" s="9">
        <v>40502</v>
      </c>
    </row>
    <row r="2825" spans="6:8">
      <c r="F2825">
        <v>39649</v>
      </c>
      <c r="G2825">
        <v>1958</v>
      </c>
      <c r="H2825" s="9">
        <v>40502</v>
      </c>
    </row>
    <row r="2826" spans="6:8">
      <c r="F2826">
        <v>39674</v>
      </c>
      <c r="G2826">
        <v>5498</v>
      </c>
      <c r="H2826" s="9">
        <v>40506</v>
      </c>
    </row>
    <row r="2827" spans="6:8">
      <c r="F2827">
        <v>39675</v>
      </c>
      <c r="G2827">
        <v>3826</v>
      </c>
      <c r="H2827" s="9">
        <v>40506</v>
      </c>
    </row>
    <row r="2828" spans="6:8">
      <c r="F2828">
        <v>39721</v>
      </c>
      <c r="G2828">
        <v>2774</v>
      </c>
      <c r="H2828" s="9">
        <v>40506</v>
      </c>
    </row>
    <row r="2829" spans="6:8">
      <c r="F2829">
        <v>39727</v>
      </c>
      <c r="G2829">
        <v>5823</v>
      </c>
      <c r="H2829" s="9">
        <v>40506</v>
      </c>
    </row>
    <row r="2830" spans="6:8">
      <c r="F2830">
        <v>39728</v>
      </c>
      <c r="G2830">
        <v>2512</v>
      </c>
      <c r="H2830" s="9">
        <v>40506</v>
      </c>
    </row>
    <row r="2831" spans="6:8">
      <c r="F2831">
        <v>39853</v>
      </c>
      <c r="G2831">
        <v>6886</v>
      </c>
      <c r="H2831" s="9">
        <v>40511</v>
      </c>
    </row>
    <row r="2832" spans="6:8">
      <c r="F2832">
        <v>39859</v>
      </c>
      <c r="G2832">
        <v>4210</v>
      </c>
      <c r="H2832" s="9">
        <v>40511</v>
      </c>
    </row>
    <row r="2833" spans="6:8">
      <c r="F2833">
        <v>39864</v>
      </c>
      <c r="G2833">
        <v>4367</v>
      </c>
      <c r="H2833" s="9">
        <v>40511</v>
      </c>
    </row>
    <row r="2834" spans="6:8">
      <c r="F2834">
        <v>39869</v>
      </c>
      <c r="G2834">
        <v>2478</v>
      </c>
      <c r="H2834" s="9">
        <v>40512</v>
      </c>
    </row>
    <row r="2835" spans="6:8">
      <c r="F2835">
        <v>39889</v>
      </c>
      <c r="G2835">
        <v>6655</v>
      </c>
      <c r="H2835" s="9">
        <v>40512</v>
      </c>
    </row>
    <row r="2836" spans="6:8">
      <c r="F2836">
        <v>39920</v>
      </c>
      <c r="G2836">
        <v>440</v>
      </c>
      <c r="H2836" s="9">
        <v>40516</v>
      </c>
    </row>
    <row r="2837" spans="6:8">
      <c r="F2837">
        <v>39934</v>
      </c>
      <c r="G2837">
        <v>1150</v>
      </c>
      <c r="H2837" s="9">
        <v>40516</v>
      </c>
    </row>
    <row r="2838" spans="6:8">
      <c r="F2838">
        <v>39939</v>
      </c>
      <c r="G2838">
        <v>3822</v>
      </c>
      <c r="H2838" s="9">
        <v>40516</v>
      </c>
    </row>
    <row r="2839" spans="6:8">
      <c r="F2839">
        <v>39963</v>
      </c>
      <c r="G2839">
        <v>1205</v>
      </c>
      <c r="H2839" s="9">
        <v>40518</v>
      </c>
    </row>
    <row r="2840" spans="6:8">
      <c r="F2840">
        <v>39969</v>
      </c>
      <c r="G2840">
        <v>361</v>
      </c>
      <c r="H2840" s="9">
        <v>40518</v>
      </c>
    </row>
    <row r="2841" spans="6:8">
      <c r="F2841">
        <v>40021</v>
      </c>
      <c r="G2841">
        <v>4744</v>
      </c>
      <c r="H2841" s="9">
        <v>40518</v>
      </c>
    </row>
    <row r="2842" spans="6:8">
      <c r="F2842">
        <v>40048</v>
      </c>
      <c r="G2842">
        <v>88</v>
      </c>
      <c r="H2842" s="9">
        <v>40518</v>
      </c>
    </row>
    <row r="2843" spans="6:8">
      <c r="F2843">
        <v>40061</v>
      </c>
      <c r="G2843">
        <v>143</v>
      </c>
      <c r="H2843" s="9">
        <v>40519</v>
      </c>
    </row>
    <row r="2844" spans="6:8">
      <c r="F2844">
        <v>40070</v>
      </c>
      <c r="G2844">
        <v>1718</v>
      </c>
      <c r="H2844" s="9">
        <v>40519</v>
      </c>
    </row>
    <row r="2845" spans="6:8">
      <c r="F2845">
        <v>40077</v>
      </c>
      <c r="G2845">
        <v>7097</v>
      </c>
      <c r="H2845" s="9">
        <v>40519</v>
      </c>
    </row>
    <row r="2846" spans="6:8">
      <c r="F2846">
        <v>40082</v>
      </c>
      <c r="G2846">
        <v>472</v>
      </c>
      <c r="H2846" s="9">
        <v>40519</v>
      </c>
    </row>
    <row r="2847" spans="6:8">
      <c r="F2847">
        <v>40129</v>
      </c>
      <c r="G2847">
        <v>1879</v>
      </c>
      <c r="H2847" s="9">
        <v>40520</v>
      </c>
    </row>
    <row r="2848" spans="6:8">
      <c r="F2848">
        <v>40145</v>
      </c>
      <c r="G2848">
        <v>4886</v>
      </c>
      <c r="H2848" s="9">
        <v>40520</v>
      </c>
    </row>
    <row r="2849" spans="6:8">
      <c r="F2849">
        <v>40148</v>
      </c>
      <c r="G2849">
        <v>4769</v>
      </c>
      <c r="H2849" s="9">
        <v>40521</v>
      </c>
    </row>
    <row r="2850" spans="6:8">
      <c r="F2850">
        <v>40150</v>
      </c>
      <c r="G2850">
        <v>5686</v>
      </c>
      <c r="H2850" s="9">
        <v>40521</v>
      </c>
    </row>
    <row r="2851" spans="6:8">
      <c r="F2851">
        <v>40155</v>
      </c>
      <c r="G2851">
        <v>4922</v>
      </c>
      <c r="H2851" s="9">
        <v>40521</v>
      </c>
    </row>
    <row r="2852" spans="6:8">
      <c r="F2852">
        <v>40170</v>
      </c>
      <c r="G2852">
        <v>5931</v>
      </c>
      <c r="H2852" s="9">
        <v>40521</v>
      </c>
    </row>
    <row r="2853" spans="6:8">
      <c r="F2853">
        <v>40181</v>
      </c>
      <c r="G2853">
        <v>4203</v>
      </c>
      <c r="H2853" s="9">
        <v>40525</v>
      </c>
    </row>
    <row r="2854" spans="6:8">
      <c r="F2854">
        <v>40183</v>
      </c>
      <c r="G2854">
        <v>5500</v>
      </c>
      <c r="H2854" s="9">
        <v>40525</v>
      </c>
    </row>
    <row r="2855" spans="6:8">
      <c r="F2855">
        <v>40194</v>
      </c>
      <c r="G2855">
        <v>3059</v>
      </c>
      <c r="H2855" s="9">
        <v>40525</v>
      </c>
    </row>
    <row r="2856" spans="6:8">
      <c r="F2856">
        <v>40207</v>
      </c>
      <c r="G2856">
        <v>3766</v>
      </c>
      <c r="H2856" s="9">
        <v>40525</v>
      </c>
    </row>
    <row r="2857" spans="6:8">
      <c r="F2857">
        <v>40258</v>
      </c>
      <c r="G2857">
        <v>7150</v>
      </c>
      <c r="H2857" s="9">
        <v>40525</v>
      </c>
    </row>
    <row r="2858" spans="6:8">
      <c r="F2858">
        <v>40280</v>
      </c>
      <c r="G2858">
        <v>1787</v>
      </c>
      <c r="H2858" s="9">
        <v>40526</v>
      </c>
    </row>
    <row r="2859" spans="6:8">
      <c r="F2859">
        <v>40316</v>
      </c>
      <c r="G2859">
        <v>1434</v>
      </c>
      <c r="H2859" s="9">
        <v>40527</v>
      </c>
    </row>
    <row r="2860" spans="6:8">
      <c r="F2860">
        <v>40321</v>
      </c>
      <c r="G2860">
        <v>170</v>
      </c>
      <c r="H2860" s="9">
        <v>40527</v>
      </c>
    </row>
    <row r="2861" spans="6:8">
      <c r="F2861">
        <v>40364</v>
      </c>
      <c r="G2861">
        <v>2182</v>
      </c>
      <c r="H2861" s="9">
        <v>40527</v>
      </c>
    </row>
    <row r="2862" spans="6:8">
      <c r="F2862">
        <v>40380</v>
      </c>
      <c r="G2862">
        <v>7028</v>
      </c>
      <c r="H2862" s="9">
        <v>40528</v>
      </c>
    </row>
    <row r="2863" spans="6:8">
      <c r="F2863">
        <v>40384</v>
      </c>
      <c r="G2863">
        <v>2640</v>
      </c>
      <c r="H2863" s="9">
        <v>40528</v>
      </c>
    </row>
    <row r="2864" spans="6:8">
      <c r="F2864">
        <v>40388</v>
      </c>
      <c r="G2864">
        <v>972</v>
      </c>
      <c r="H2864" s="9">
        <v>40528</v>
      </c>
    </row>
    <row r="2865" spans="6:8">
      <c r="F2865">
        <v>40390</v>
      </c>
      <c r="G2865">
        <v>6295</v>
      </c>
      <c r="H2865" s="9">
        <v>40528</v>
      </c>
    </row>
    <row r="2866" spans="6:8">
      <c r="F2866">
        <v>40406</v>
      </c>
      <c r="G2866">
        <v>778</v>
      </c>
      <c r="H2866" s="9">
        <v>40528</v>
      </c>
    </row>
    <row r="2867" spans="6:8">
      <c r="F2867">
        <v>40448</v>
      </c>
      <c r="G2867">
        <v>4204</v>
      </c>
      <c r="H2867" s="9">
        <v>40532</v>
      </c>
    </row>
    <row r="2868" spans="6:8">
      <c r="F2868">
        <v>40457</v>
      </c>
      <c r="G2868">
        <v>955</v>
      </c>
      <c r="H2868" s="9">
        <v>40532</v>
      </c>
    </row>
    <row r="2869" spans="6:8">
      <c r="F2869">
        <v>40464</v>
      </c>
      <c r="G2869">
        <v>1789</v>
      </c>
      <c r="H2869" s="9">
        <v>40532</v>
      </c>
    </row>
    <row r="2870" spans="6:8">
      <c r="F2870">
        <v>40566</v>
      </c>
      <c r="G2870">
        <v>6217</v>
      </c>
      <c r="H2870" s="9">
        <v>40534</v>
      </c>
    </row>
    <row r="2871" spans="6:8">
      <c r="F2871">
        <v>40570</v>
      </c>
      <c r="G2871">
        <v>4198</v>
      </c>
      <c r="H2871" s="9">
        <v>40534</v>
      </c>
    </row>
    <row r="2872" spans="6:8">
      <c r="F2872">
        <v>40579</v>
      </c>
      <c r="G2872">
        <v>7359</v>
      </c>
      <c r="H2872" s="9">
        <v>40534</v>
      </c>
    </row>
    <row r="2873" spans="6:8">
      <c r="F2873">
        <v>40582</v>
      </c>
      <c r="G2873">
        <v>7647</v>
      </c>
      <c r="H2873" s="9">
        <v>40534</v>
      </c>
    </row>
    <row r="2874" spans="6:8">
      <c r="F2874">
        <v>40599</v>
      </c>
      <c r="G2874">
        <v>2765</v>
      </c>
      <c r="H2874" s="9">
        <v>40534</v>
      </c>
    </row>
    <row r="2875" spans="6:8">
      <c r="F2875">
        <v>40622</v>
      </c>
      <c r="G2875">
        <v>5362</v>
      </c>
      <c r="H2875" s="9">
        <v>40535</v>
      </c>
    </row>
    <row r="2876" spans="6:8">
      <c r="F2876">
        <v>40629</v>
      </c>
      <c r="G2876">
        <v>6009</v>
      </c>
      <c r="H2876" s="9">
        <v>40535</v>
      </c>
    </row>
    <row r="2877" spans="6:8">
      <c r="F2877">
        <v>40635</v>
      </c>
      <c r="G2877">
        <v>1745</v>
      </c>
      <c r="H2877" s="9">
        <v>40535</v>
      </c>
    </row>
    <row r="2878" spans="6:8">
      <c r="F2878">
        <v>40637</v>
      </c>
      <c r="G2878">
        <v>6551</v>
      </c>
      <c r="H2878" s="9">
        <v>40535</v>
      </c>
    </row>
    <row r="2879" spans="6:8">
      <c r="F2879">
        <v>40647</v>
      </c>
      <c r="G2879">
        <v>1186</v>
      </c>
      <c r="H2879" s="9">
        <v>40539</v>
      </c>
    </row>
    <row r="2880" spans="6:8">
      <c r="F2880">
        <v>40714</v>
      </c>
      <c r="G2880">
        <v>5458</v>
      </c>
      <c r="H2880" s="9">
        <v>40539</v>
      </c>
    </row>
    <row r="2881" spans="6:8">
      <c r="F2881">
        <v>40720</v>
      </c>
      <c r="G2881">
        <v>6291</v>
      </c>
      <c r="H2881" s="9">
        <v>40539</v>
      </c>
    </row>
    <row r="2882" spans="6:8">
      <c r="F2882">
        <v>40722</v>
      </c>
      <c r="G2882">
        <v>4856</v>
      </c>
      <c r="H2882" s="9">
        <v>40539</v>
      </c>
    </row>
    <row r="2883" spans="6:8">
      <c r="F2883">
        <v>40763</v>
      </c>
      <c r="G2883">
        <v>2917</v>
      </c>
      <c r="H2883" s="9">
        <v>40539</v>
      </c>
    </row>
    <row r="2884" spans="6:8">
      <c r="F2884">
        <v>40809</v>
      </c>
      <c r="G2884">
        <v>6220</v>
      </c>
      <c r="H2884" s="9">
        <v>40540</v>
      </c>
    </row>
    <row r="2885" spans="6:8">
      <c r="F2885">
        <v>40814</v>
      </c>
      <c r="G2885">
        <v>6984</v>
      </c>
      <c r="H2885" s="9">
        <v>40541</v>
      </c>
    </row>
    <row r="2886" spans="6:8">
      <c r="F2886">
        <v>40819</v>
      </c>
      <c r="G2886">
        <v>2285</v>
      </c>
      <c r="H2886" s="9">
        <v>40541</v>
      </c>
    </row>
    <row r="2887" spans="6:8">
      <c r="F2887">
        <v>40843</v>
      </c>
      <c r="G2887">
        <v>6776</v>
      </c>
      <c r="H2887" s="9">
        <v>40541</v>
      </c>
    </row>
    <row r="2888" spans="6:8">
      <c r="F2888">
        <v>40875</v>
      </c>
      <c r="G2888">
        <v>6540</v>
      </c>
      <c r="H2888" s="9">
        <v>40542</v>
      </c>
    </row>
    <row r="2889" spans="6:8">
      <c r="F2889">
        <v>40877</v>
      </c>
      <c r="G2889">
        <v>5935</v>
      </c>
      <c r="H2889" s="9">
        <v>40542</v>
      </c>
    </row>
    <row r="2890" spans="6:8">
      <c r="F2890">
        <v>40884</v>
      </c>
      <c r="G2890">
        <v>318</v>
      </c>
      <c r="H2890" s="9">
        <v>40542</v>
      </c>
    </row>
    <row r="2891" spans="6:8">
      <c r="F2891">
        <v>40895</v>
      </c>
      <c r="G2891">
        <v>720</v>
      </c>
      <c r="H2891" s="9">
        <v>40543</v>
      </c>
    </row>
    <row r="2892" spans="6:8">
      <c r="F2892">
        <v>40903</v>
      </c>
      <c r="G2892">
        <v>4308</v>
      </c>
      <c r="H2892" s="9">
        <v>40543</v>
      </c>
    </row>
    <row r="2893" spans="6:8">
      <c r="F2893">
        <v>40910</v>
      </c>
      <c r="G2893">
        <v>375</v>
      </c>
      <c r="H2893" s="9">
        <v>40543</v>
      </c>
    </row>
    <row r="2894" spans="6:8">
      <c r="F2894">
        <v>40912</v>
      </c>
      <c r="G2894">
        <v>5287</v>
      </c>
      <c r="H2894" s="9">
        <v>40543</v>
      </c>
    </row>
    <row r="2895" spans="6:8">
      <c r="F2895">
        <v>40913</v>
      </c>
      <c r="G2895">
        <v>4772</v>
      </c>
      <c r="H2895" s="9">
        <v>40543</v>
      </c>
    </row>
    <row r="2896" spans="6:8">
      <c r="F2896">
        <v>40920</v>
      </c>
      <c r="G2896">
        <v>5444</v>
      </c>
      <c r="H2896" s="9">
        <v>40543</v>
      </c>
    </row>
    <row r="2897" spans="6:8">
      <c r="F2897">
        <v>40931</v>
      </c>
      <c r="G2897">
        <v>447</v>
      </c>
      <c r="H2897" s="9">
        <v>40543</v>
      </c>
    </row>
    <row r="2898" spans="6:8">
      <c r="F2898">
        <v>40943</v>
      </c>
      <c r="G2898">
        <v>2643</v>
      </c>
      <c r="H2898" s="9">
        <v>40546</v>
      </c>
    </row>
    <row r="2899" spans="6:8">
      <c r="F2899">
        <v>40945</v>
      </c>
      <c r="G2899">
        <v>2608</v>
      </c>
      <c r="H2899" s="9">
        <v>40546</v>
      </c>
    </row>
    <row r="2900" spans="6:8">
      <c r="F2900">
        <v>40949</v>
      </c>
      <c r="G2900">
        <v>5459</v>
      </c>
      <c r="H2900" s="9">
        <v>40546</v>
      </c>
    </row>
    <row r="2901" spans="6:8">
      <c r="F2901">
        <v>40966</v>
      </c>
      <c r="G2901">
        <v>2895</v>
      </c>
      <c r="H2901" s="9">
        <v>40546</v>
      </c>
    </row>
    <row r="2902" spans="6:8">
      <c r="F2902">
        <v>40999</v>
      </c>
      <c r="G2902">
        <v>6011</v>
      </c>
      <c r="H2902" s="9">
        <v>40547</v>
      </c>
    </row>
    <row r="2903" spans="6:8">
      <c r="F2903">
        <v>41000</v>
      </c>
      <c r="G2903">
        <v>4821</v>
      </c>
      <c r="H2903" s="9">
        <v>40547</v>
      </c>
    </row>
    <row r="2904" spans="6:8">
      <c r="F2904">
        <v>41003</v>
      </c>
      <c r="G2904">
        <v>5596</v>
      </c>
      <c r="H2904" s="9">
        <v>40547</v>
      </c>
    </row>
    <row r="2905" spans="6:8">
      <c r="F2905">
        <v>41011</v>
      </c>
      <c r="G2905">
        <v>1280</v>
      </c>
      <c r="H2905" s="9">
        <v>40547</v>
      </c>
    </row>
    <row r="2906" spans="6:8">
      <c r="F2906">
        <v>41018</v>
      </c>
      <c r="G2906">
        <v>970</v>
      </c>
      <c r="H2906" s="9">
        <v>40547</v>
      </c>
    </row>
    <row r="2907" spans="6:8">
      <c r="F2907">
        <v>41037</v>
      </c>
      <c r="G2907">
        <v>6803</v>
      </c>
      <c r="H2907" s="9">
        <v>40547</v>
      </c>
    </row>
    <row r="2908" spans="6:8">
      <c r="F2908">
        <v>41042</v>
      </c>
      <c r="G2908">
        <v>110</v>
      </c>
      <c r="H2908" s="9">
        <v>40548</v>
      </c>
    </row>
    <row r="2909" spans="6:8">
      <c r="F2909">
        <v>41049</v>
      </c>
      <c r="G2909">
        <v>5551</v>
      </c>
      <c r="H2909" s="9">
        <v>40548</v>
      </c>
    </row>
    <row r="2910" spans="6:8">
      <c r="F2910">
        <v>41128</v>
      </c>
      <c r="G2910">
        <v>679</v>
      </c>
      <c r="H2910" s="9">
        <v>40553</v>
      </c>
    </row>
    <row r="2911" spans="6:8">
      <c r="F2911">
        <v>41137</v>
      </c>
      <c r="G2911">
        <v>1760</v>
      </c>
      <c r="H2911" s="9">
        <v>40553</v>
      </c>
    </row>
    <row r="2912" spans="6:8">
      <c r="F2912">
        <v>41150</v>
      </c>
      <c r="G2912">
        <v>1241</v>
      </c>
      <c r="H2912" s="9">
        <v>40553</v>
      </c>
    </row>
    <row r="2913" spans="6:8">
      <c r="F2913">
        <v>41170</v>
      </c>
      <c r="G2913">
        <v>2584</v>
      </c>
      <c r="H2913" s="9">
        <v>40553</v>
      </c>
    </row>
    <row r="2914" spans="6:8">
      <c r="F2914">
        <v>41173</v>
      </c>
      <c r="G2914">
        <v>7455</v>
      </c>
      <c r="H2914" s="9">
        <v>40553</v>
      </c>
    </row>
    <row r="2915" spans="6:8">
      <c r="F2915">
        <v>41189</v>
      </c>
      <c r="G2915">
        <v>1867</v>
      </c>
      <c r="H2915" s="9">
        <v>40553</v>
      </c>
    </row>
    <row r="2916" spans="6:8">
      <c r="F2916">
        <v>41209</v>
      </c>
      <c r="G2916">
        <v>1275</v>
      </c>
      <c r="H2916" s="9">
        <v>40554</v>
      </c>
    </row>
    <row r="2917" spans="6:8">
      <c r="F2917">
        <v>41249</v>
      </c>
      <c r="G2917">
        <v>7661</v>
      </c>
      <c r="H2917" s="9">
        <v>40554</v>
      </c>
    </row>
    <row r="2918" spans="6:8">
      <c r="F2918">
        <v>41252</v>
      </c>
      <c r="G2918">
        <v>7664</v>
      </c>
      <c r="H2918" s="9">
        <v>40554</v>
      </c>
    </row>
    <row r="2919" spans="6:8">
      <c r="F2919">
        <v>41254</v>
      </c>
      <c r="G2919">
        <v>7666</v>
      </c>
      <c r="H2919" s="9">
        <v>40554</v>
      </c>
    </row>
    <row r="2920" spans="6:8">
      <c r="F2920">
        <v>41256</v>
      </c>
      <c r="G2920">
        <v>3850</v>
      </c>
      <c r="H2920" s="9">
        <v>40555</v>
      </c>
    </row>
    <row r="2921" spans="6:8">
      <c r="F2921">
        <v>41281</v>
      </c>
      <c r="G2921">
        <v>904</v>
      </c>
      <c r="H2921" s="9">
        <v>40556</v>
      </c>
    </row>
    <row r="2922" spans="6:8">
      <c r="F2922">
        <v>41290</v>
      </c>
      <c r="G2922">
        <v>542</v>
      </c>
      <c r="H2922" s="9">
        <v>40557</v>
      </c>
    </row>
    <row r="2923" spans="6:8">
      <c r="F2923">
        <v>41305</v>
      </c>
      <c r="G2923">
        <v>7669</v>
      </c>
      <c r="H2923" s="9">
        <v>40557</v>
      </c>
    </row>
    <row r="2924" spans="6:8">
      <c r="F2924">
        <v>41307</v>
      </c>
      <c r="G2924">
        <v>7671</v>
      </c>
      <c r="H2924" s="9">
        <v>40557</v>
      </c>
    </row>
    <row r="2925" spans="6:8">
      <c r="F2925">
        <v>41330</v>
      </c>
      <c r="G2925">
        <v>2589</v>
      </c>
      <c r="H2925" s="9">
        <v>40557</v>
      </c>
    </row>
    <row r="2926" spans="6:8">
      <c r="F2926">
        <v>41337</v>
      </c>
      <c r="G2926">
        <v>1185</v>
      </c>
      <c r="H2926" s="9">
        <v>40557</v>
      </c>
    </row>
    <row r="2927" spans="6:8">
      <c r="F2927">
        <v>41345</v>
      </c>
      <c r="G2927">
        <v>2673</v>
      </c>
      <c r="H2927" s="9">
        <v>40557</v>
      </c>
    </row>
    <row r="2928" spans="6:8">
      <c r="F2928">
        <v>41356</v>
      </c>
      <c r="G2928">
        <v>3920</v>
      </c>
      <c r="H2928" s="9">
        <v>40558</v>
      </c>
    </row>
    <row r="2929" spans="6:8">
      <c r="F2929">
        <v>41357</v>
      </c>
      <c r="G2929">
        <v>2318</v>
      </c>
      <c r="H2929" s="9">
        <v>40558</v>
      </c>
    </row>
    <row r="2930" spans="6:8">
      <c r="F2930">
        <v>41360</v>
      </c>
      <c r="G2930">
        <v>6958</v>
      </c>
      <c r="H2930" s="9">
        <v>40560</v>
      </c>
    </row>
    <row r="2931" spans="6:8">
      <c r="F2931">
        <v>41384</v>
      </c>
      <c r="G2931">
        <v>994</v>
      </c>
      <c r="H2931" s="9">
        <v>40560</v>
      </c>
    </row>
    <row r="2932" spans="6:8">
      <c r="F2932">
        <v>41425</v>
      </c>
      <c r="G2932">
        <v>1252</v>
      </c>
      <c r="H2932" s="9">
        <v>40561</v>
      </c>
    </row>
    <row r="2933" spans="6:8">
      <c r="F2933">
        <v>41429</v>
      </c>
      <c r="G2933">
        <v>622</v>
      </c>
      <c r="H2933" s="9">
        <v>40561</v>
      </c>
    </row>
    <row r="2934" spans="6:8">
      <c r="F2934">
        <v>41440</v>
      </c>
      <c r="G2934">
        <v>3028</v>
      </c>
      <c r="H2934" s="9">
        <v>40561</v>
      </c>
    </row>
    <row r="2935" spans="6:8">
      <c r="F2935">
        <v>41452</v>
      </c>
      <c r="G2935">
        <v>922</v>
      </c>
      <c r="H2935" s="9">
        <v>40561</v>
      </c>
    </row>
    <row r="2936" spans="6:8">
      <c r="F2936">
        <v>41476</v>
      </c>
      <c r="G2936">
        <v>7640</v>
      </c>
      <c r="H2936" s="9">
        <v>40562</v>
      </c>
    </row>
    <row r="2937" spans="6:8">
      <c r="F2937">
        <v>41489</v>
      </c>
      <c r="G2937">
        <v>519</v>
      </c>
      <c r="H2937" s="9">
        <v>40563</v>
      </c>
    </row>
    <row r="2938" spans="6:8">
      <c r="F2938">
        <v>41508</v>
      </c>
      <c r="G2938">
        <v>1832</v>
      </c>
      <c r="H2938" s="9">
        <v>40563</v>
      </c>
    </row>
    <row r="2939" spans="6:8">
      <c r="F2939">
        <v>41515</v>
      </c>
      <c r="G2939">
        <v>1483</v>
      </c>
      <c r="H2939" s="9">
        <v>40563</v>
      </c>
    </row>
    <row r="2940" spans="6:8">
      <c r="F2940">
        <v>41531</v>
      </c>
      <c r="G2940">
        <v>770</v>
      </c>
      <c r="H2940" s="9">
        <v>40563</v>
      </c>
    </row>
    <row r="2941" spans="6:8">
      <c r="F2941">
        <v>41532</v>
      </c>
      <c r="G2941">
        <v>3086</v>
      </c>
      <c r="H2941" s="9">
        <v>40563</v>
      </c>
    </row>
    <row r="2942" spans="6:8">
      <c r="F2942">
        <v>41542</v>
      </c>
      <c r="G2942">
        <v>515</v>
      </c>
      <c r="H2942" s="9">
        <v>40563</v>
      </c>
    </row>
    <row r="2943" spans="6:8">
      <c r="F2943">
        <v>41545</v>
      </c>
      <c r="G2943">
        <v>660</v>
      </c>
      <c r="H2943" s="9">
        <v>40563</v>
      </c>
    </row>
    <row r="2944" spans="6:8">
      <c r="F2944">
        <v>41549</v>
      </c>
      <c r="G2944">
        <v>949</v>
      </c>
      <c r="H2944" s="9">
        <v>40563</v>
      </c>
    </row>
    <row r="2945" spans="6:8">
      <c r="F2945">
        <v>41594</v>
      </c>
      <c r="G2945">
        <v>5815</v>
      </c>
      <c r="H2945" s="9">
        <v>40567</v>
      </c>
    </row>
    <row r="2946" spans="6:8">
      <c r="F2946">
        <v>41652</v>
      </c>
      <c r="G2946">
        <v>104</v>
      </c>
      <c r="H2946" s="9">
        <v>40568</v>
      </c>
    </row>
    <row r="2947" spans="6:8">
      <c r="F2947">
        <v>41720</v>
      </c>
      <c r="G2947">
        <v>3481</v>
      </c>
      <c r="H2947" s="9">
        <v>40569</v>
      </c>
    </row>
    <row r="2948" spans="6:8">
      <c r="F2948">
        <v>41731</v>
      </c>
      <c r="G2948">
        <v>7296</v>
      </c>
      <c r="H2948" s="9">
        <v>40569</v>
      </c>
    </row>
    <row r="2949" spans="6:8">
      <c r="F2949">
        <v>41756</v>
      </c>
      <c r="G2949">
        <v>2089</v>
      </c>
      <c r="H2949" s="9">
        <v>40570</v>
      </c>
    </row>
    <row r="2950" spans="6:8">
      <c r="F2950">
        <v>41771</v>
      </c>
      <c r="G2950">
        <v>2935</v>
      </c>
      <c r="H2950" s="9">
        <v>40571</v>
      </c>
    </row>
    <row r="2951" spans="6:8">
      <c r="F2951">
        <v>41795</v>
      </c>
      <c r="G2951">
        <v>1844</v>
      </c>
      <c r="H2951" s="9">
        <v>40571</v>
      </c>
    </row>
    <row r="2952" spans="6:8">
      <c r="F2952">
        <v>41797</v>
      </c>
      <c r="G2952">
        <v>4767</v>
      </c>
      <c r="H2952" s="9">
        <v>40571</v>
      </c>
    </row>
    <row r="2953" spans="6:8">
      <c r="F2953">
        <v>41813</v>
      </c>
      <c r="G2953">
        <v>2577</v>
      </c>
      <c r="H2953" s="9">
        <v>40574</v>
      </c>
    </row>
    <row r="2954" spans="6:8">
      <c r="F2954">
        <v>41828</v>
      </c>
      <c r="G2954">
        <v>5398</v>
      </c>
      <c r="H2954" s="9">
        <v>40574</v>
      </c>
    </row>
    <row r="2955" spans="6:8">
      <c r="F2955">
        <v>41829</v>
      </c>
      <c r="G2955">
        <v>5894</v>
      </c>
      <c r="H2955" s="9">
        <v>40574</v>
      </c>
    </row>
    <row r="2956" spans="6:8">
      <c r="F2956">
        <v>41834</v>
      </c>
      <c r="G2956">
        <v>3986</v>
      </c>
      <c r="H2956" s="9">
        <v>40574</v>
      </c>
    </row>
    <row r="2957" spans="6:8">
      <c r="F2957">
        <v>41839</v>
      </c>
      <c r="G2957">
        <v>7556</v>
      </c>
      <c r="H2957" s="9">
        <v>40574</v>
      </c>
    </row>
    <row r="2958" spans="6:8">
      <c r="F2958">
        <v>41886</v>
      </c>
      <c r="G2958">
        <v>6622</v>
      </c>
      <c r="H2958" s="9">
        <v>40575</v>
      </c>
    </row>
    <row r="2959" spans="6:8">
      <c r="F2959">
        <v>41905</v>
      </c>
      <c r="G2959">
        <v>696</v>
      </c>
      <c r="H2959" s="9">
        <v>40575</v>
      </c>
    </row>
    <row r="2960" spans="6:8">
      <c r="F2960">
        <v>41931</v>
      </c>
      <c r="G2960">
        <v>6522</v>
      </c>
      <c r="H2960" s="9">
        <v>40575</v>
      </c>
    </row>
    <row r="2961" spans="6:8">
      <c r="F2961">
        <v>41946</v>
      </c>
      <c r="G2961">
        <v>7691</v>
      </c>
      <c r="H2961" s="9">
        <v>40576</v>
      </c>
    </row>
    <row r="2962" spans="6:8">
      <c r="F2962">
        <v>41948</v>
      </c>
      <c r="G2962">
        <v>7693</v>
      </c>
      <c r="H2962" s="9">
        <v>40576</v>
      </c>
    </row>
    <row r="2963" spans="6:8">
      <c r="F2963">
        <v>41949</v>
      </c>
      <c r="G2963">
        <v>6779</v>
      </c>
      <c r="H2963" s="9">
        <v>40576</v>
      </c>
    </row>
    <row r="2964" spans="6:8">
      <c r="F2964">
        <v>41952</v>
      </c>
      <c r="G2964">
        <v>4065</v>
      </c>
      <c r="H2964" s="9">
        <v>40576</v>
      </c>
    </row>
    <row r="2965" spans="6:8">
      <c r="F2965">
        <v>41955</v>
      </c>
      <c r="G2965">
        <v>4803</v>
      </c>
      <c r="H2965" s="9">
        <v>40576</v>
      </c>
    </row>
    <row r="2966" spans="6:8">
      <c r="F2966">
        <v>41975</v>
      </c>
      <c r="G2966">
        <v>3888</v>
      </c>
      <c r="H2966" s="9">
        <v>40577</v>
      </c>
    </row>
    <row r="2967" spans="6:8">
      <c r="F2967">
        <v>41981</v>
      </c>
      <c r="G2967">
        <v>2785</v>
      </c>
      <c r="H2967" s="9">
        <v>40577</v>
      </c>
    </row>
    <row r="2968" spans="6:8">
      <c r="F2968">
        <v>42012</v>
      </c>
      <c r="G2968">
        <v>7118</v>
      </c>
      <c r="H2968" s="9">
        <v>40577</v>
      </c>
    </row>
    <row r="2969" spans="6:8">
      <c r="F2969">
        <v>42023</v>
      </c>
      <c r="G2969">
        <v>6985</v>
      </c>
      <c r="H2969" s="9">
        <v>40578</v>
      </c>
    </row>
    <row r="2970" spans="6:8">
      <c r="F2970">
        <v>42027</v>
      </c>
      <c r="G2970">
        <v>3507</v>
      </c>
      <c r="H2970" s="9">
        <v>40578</v>
      </c>
    </row>
    <row r="2971" spans="6:8">
      <c r="F2971">
        <v>42029</v>
      </c>
      <c r="G2971">
        <v>7535</v>
      </c>
      <c r="H2971" s="9">
        <v>40578</v>
      </c>
    </row>
    <row r="2972" spans="6:8">
      <c r="F2972">
        <v>42040</v>
      </c>
      <c r="G2972">
        <v>5775</v>
      </c>
      <c r="H2972" s="9">
        <v>40578</v>
      </c>
    </row>
    <row r="2973" spans="6:8">
      <c r="F2973">
        <v>42043</v>
      </c>
      <c r="G2973">
        <v>483</v>
      </c>
      <c r="H2973" s="9">
        <v>40578</v>
      </c>
    </row>
    <row r="2974" spans="6:8">
      <c r="F2974">
        <v>42045</v>
      </c>
      <c r="G2974">
        <v>6449</v>
      </c>
      <c r="H2974" s="9">
        <v>40578</v>
      </c>
    </row>
    <row r="2975" spans="6:8">
      <c r="F2975">
        <v>42046</v>
      </c>
      <c r="G2975">
        <v>5916</v>
      </c>
      <c r="H2975" s="9">
        <v>40578</v>
      </c>
    </row>
    <row r="2976" spans="6:8">
      <c r="F2976">
        <v>42066</v>
      </c>
      <c r="G2976">
        <v>7698</v>
      </c>
      <c r="H2976" s="9">
        <v>40581</v>
      </c>
    </row>
    <row r="2977" spans="6:8">
      <c r="F2977">
        <v>42089</v>
      </c>
      <c r="G2977">
        <v>6711</v>
      </c>
      <c r="H2977" s="9">
        <v>40582</v>
      </c>
    </row>
    <row r="2978" spans="6:8">
      <c r="F2978">
        <v>42113</v>
      </c>
      <c r="G2978">
        <v>2817</v>
      </c>
      <c r="H2978" s="9">
        <v>40584</v>
      </c>
    </row>
    <row r="2979" spans="6:8">
      <c r="F2979">
        <v>42142</v>
      </c>
      <c r="G2979">
        <v>5104</v>
      </c>
      <c r="H2979" s="9">
        <v>40584</v>
      </c>
    </row>
    <row r="2980" spans="6:8">
      <c r="F2980">
        <v>42161</v>
      </c>
      <c r="G2980">
        <v>3808</v>
      </c>
      <c r="H2980" s="9">
        <v>40586</v>
      </c>
    </row>
    <row r="2981" spans="6:8">
      <c r="F2981">
        <v>42189</v>
      </c>
      <c r="G2981">
        <v>7699</v>
      </c>
      <c r="H2981" s="9">
        <v>40589</v>
      </c>
    </row>
    <row r="2982" spans="6:8">
      <c r="F2982">
        <v>42224</v>
      </c>
      <c r="G2982">
        <v>216</v>
      </c>
      <c r="H2982" s="9">
        <v>40589</v>
      </c>
    </row>
    <row r="2983" spans="6:8">
      <c r="F2983">
        <v>42225</v>
      </c>
      <c r="G2983">
        <v>3488</v>
      </c>
      <c r="H2983" s="9">
        <v>40589</v>
      </c>
    </row>
    <row r="2984" spans="6:8">
      <c r="F2984">
        <v>42239</v>
      </c>
      <c r="G2984">
        <v>5495</v>
      </c>
      <c r="H2984" s="9">
        <v>40589</v>
      </c>
    </row>
    <row r="2985" spans="6:8">
      <c r="F2985">
        <v>42241</v>
      </c>
      <c r="G2985">
        <v>4578</v>
      </c>
      <c r="H2985" s="9">
        <v>40589</v>
      </c>
    </row>
    <row r="2986" spans="6:8">
      <c r="F2986">
        <v>42249</v>
      </c>
      <c r="G2986">
        <v>4326</v>
      </c>
      <c r="H2986" s="9">
        <v>40589</v>
      </c>
    </row>
    <row r="2987" spans="6:8">
      <c r="F2987">
        <v>42262</v>
      </c>
      <c r="G2987">
        <v>6156</v>
      </c>
      <c r="H2987" s="9">
        <v>40589</v>
      </c>
    </row>
    <row r="2988" spans="6:8">
      <c r="F2988">
        <v>42273</v>
      </c>
      <c r="G2988">
        <v>6188</v>
      </c>
      <c r="H2988" s="9">
        <v>40589</v>
      </c>
    </row>
    <row r="2989" spans="6:8">
      <c r="F2989">
        <v>42293</v>
      </c>
      <c r="G2989">
        <v>2494</v>
      </c>
      <c r="H2989" s="9">
        <v>40591</v>
      </c>
    </row>
    <row r="2990" spans="6:8">
      <c r="F2990">
        <v>42300</v>
      </c>
      <c r="G2990">
        <v>7475</v>
      </c>
      <c r="H2990" s="9">
        <v>40591</v>
      </c>
    </row>
    <row r="2991" spans="6:8">
      <c r="F2991">
        <v>42307</v>
      </c>
      <c r="G2991">
        <v>6864</v>
      </c>
      <c r="H2991" s="9">
        <v>40591</v>
      </c>
    </row>
    <row r="2992" spans="6:8">
      <c r="F2992">
        <v>42313</v>
      </c>
      <c r="G2992">
        <v>4518</v>
      </c>
      <c r="H2992" s="9">
        <v>40592</v>
      </c>
    </row>
    <row r="2993" spans="6:8">
      <c r="F2993">
        <v>42321</v>
      </c>
      <c r="G2993">
        <v>2362</v>
      </c>
      <c r="H2993" s="9">
        <v>40592</v>
      </c>
    </row>
    <row r="2994" spans="6:8">
      <c r="F2994">
        <v>42351</v>
      </c>
      <c r="G2994">
        <v>80</v>
      </c>
      <c r="H2994" s="9">
        <v>40592</v>
      </c>
    </row>
    <row r="2995" spans="6:8">
      <c r="F2995">
        <v>42352</v>
      </c>
      <c r="G2995">
        <v>248</v>
      </c>
      <c r="H2995" s="9">
        <v>40592</v>
      </c>
    </row>
    <row r="2996" spans="6:8">
      <c r="F2996">
        <v>42365</v>
      </c>
      <c r="G2996">
        <v>4911</v>
      </c>
      <c r="H2996" s="9">
        <v>40595</v>
      </c>
    </row>
    <row r="2997" spans="6:8">
      <c r="F2997">
        <v>42368</v>
      </c>
      <c r="G2997">
        <v>7237</v>
      </c>
      <c r="H2997" s="9">
        <v>40595</v>
      </c>
    </row>
    <row r="2998" spans="6:8">
      <c r="F2998">
        <v>42405</v>
      </c>
      <c r="G2998">
        <v>1398</v>
      </c>
      <c r="H2998" s="9">
        <v>40596</v>
      </c>
    </row>
    <row r="2999" spans="6:8">
      <c r="F2999">
        <v>42422</v>
      </c>
      <c r="G2999">
        <v>522</v>
      </c>
      <c r="H2999" s="9">
        <v>40596</v>
      </c>
    </row>
    <row r="3000" spans="6:8">
      <c r="F3000">
        <v>42424</v>
      </c>
      <c r="G3000">
        <v>1476</v>
      </c>
      <c r="H3000" s="9">
        <v>40596</v>
      </c>
    </row>
    <row r="3001" spans="6:8">
      <c r="F3001">
        <v>42448</v>
      </c>
      <c r="G3001">
        <v>3056</v>
      </c>
      <c r="H3001" s="9">
        <v>40596</v>
      </c>
    </row>
    <row r="3002" spans="6:8">
      <c r="F3002">
        <v>42461</v>
      </c>
      <c r="G3002">
        <v>2312</v>
      </c>
      <c r="H3002" s="9">
        <v>40596</v>
      </c>
    </row>
    <row r="3003" spans="6:8">
      <c r="F3003">
        <v>42473</v>
      </c>
      <c r="G3003">
        <v>5651</v>
      </c>
      <c r="H3003" s="9">
        <v>40597</v>
      </c>
    </row>
    <row r="3004" spans="6:8">
      <c r="F3004">
        <v>42474</v>
      </c>
      <c r="G3004">
        <v>1368</v>
      </c>
      <c r="H3004" s="9">
        <v>40597</v>
      </c>
    </row>
    <row r="3005" spans="6:8">
      <c r="F3005">
        <v>42478</v>
      </c>
      <c r="G3005">
        <v>7607</v>
      </c>
      <c r="H3005" s="9">
        <v>40597</v>
      </c>
    </row>
    <row r="3006" spans="6:8">
      <c r="F3006">
        <v>42492</v>
      </c>
      <c r="G3006">
        <v>2687</v>
      </c>
      <c r="H3006" s="9">
        <v>40597</v>
      </c>
    </row>
    <row r="3007" spans="6:8">
      <c r="F3007">
        <v>42498</v>
      </c>
      <c r="G3007">
        <v>7148</v>
      </c>
      <c r="H3007" s="9">
        <v>40597</v>
      </c>
    </row>
    <row r="3008" spans="6:8">
      <c r="F3008">
        <v>42522</v>
      </c>
      <c r="G3008">
        <v>5643</v>
      </c>
      <c r="H3008" s="9">
        <v>40598</v>
      </c>
    </row>
    <row r="3009" spans="6:8">
      <c r="F3009">
        <v>42532</v>
      </c>
      <c r="G3009">
        <v>6720</v>
      </c>
      <c r="H3009" s="9">
        <v>40598</v>
      </c>
    </row>
    <row r="3010" spans="6:8">
      <c r="F3010">
        <v>42556</v>
      </c>
      <c r="G3010">
        <v>4486</v>
      </c>
      <c r="H3010" s="9">
        <v>40599</v>
      </c>
    </row>
    <row r="3011" spans="6:8">
      <c r="F3011">
        <v>42559</v>
      </c>
      <c r="G3011">
        <v>7129</v>
      </c>
      <c r="H3011" s="9">
        <v>40599</v>
      </c>
    </row>
    <row r="3012" spans="6:8">
      <c r="F3012">
        <v>42636</v>
      </c>
      <c r="G3012">
        <v>3184</v>
      </c>
      <c r="H3012" s="9">
        <v>40602</v>
      </c>
    </row>
    <row r="3013" spans="6:8">
      <c r="F3013">
        <v>42637</v>
      </c>
      <c r="G3013">
        <v>4961</v>
      </c>
      <c r="H3013" s="9">
        <v>40602</v>
      </c>
    </row>
    <row r="3014" spans="6:8">
      <c r="F3014">
        <v>42639</v>
      </c>
      <c r="G3014">
        <v>5407</v>
      </c>
      <c r="H3014" s="9">
        <v>40602</v>
      </c>
    </row>
    <row r="3015" spans="6:8">
      <c r="F3015">
        <v>42642</v>
      </c>
      <c r="G3015">
        <v>7670</v>
      </c>
      <c r="H3015" s="9">
        <v>40602</v>
      </c>
    </row>
    <row r="3016" spans="6:8">
      <c r="F3016">
        <v>42643</v>
      </c>
      <c r="G3016">
        <v>7670</v>
      </c>
      <c r="H3016" s="9">
        <v>40602</v>
      </c>
    </row>
    <row r="3017" spans="6:8">
      <c r="F3017">
        <v>42653</v>
      </c>
      <c r="G3017">
        <v>5522</v>
      </c>
      <c r="H3017" s="9">
        <v>40602</v>
      </c>
    </row>
    <row r="3018" spans="6:8">
      <c r="F3018">
        <v>42666</v>
      </c>
      <c r="G3018">
        <v>4443</v>
      </c>
      <c r="H3018" s="9">
        <v>40602</v>
      </c>
    </row>
    <row r="3019" spans="6:8">
      <c r="F3019">
        <v>42725</v>
      </c>
      <c r="G3019">
        <v>2074</v>
      </c>
      <c r="H3019" s="9">
        <v>40602</v>
      </c>
    </row>
    <row r="3020" spans="6:8">
      <c r="F3020">
        <v>42744</v>
      </c>
      <c r="G3020">
        <v>5917</v>
      </c>
      <c r="H3020" s="9">
        <v>40603</v>
      </c>
    </row>
    <row r="3021" spans="6:8">
      <c r="F3021">
        <v>42758</v>
      </c>
      <c r="G3021">
        <v>3068</v>
      </c>
      <c r="H3021" s="9">
        <v>40603</v>
      </c>
    </row>
    <row r="3022" spans="6:8">
      <c r="F3022">
        <v>42759</v>
      </c>
      <c r="G3022">
        <v>4921</v>
      </c>
      <c r="H3022" s="9">
        <v>40603</v>
      </c>
    </row>
    <row r="3023" spans="6:8">
      <c r="F3023">
        <v>42760</v>
      </c>
      <c r="G3023">
        <v>6373</v>
      </c>
      <c r="H3023" s="9">
        <v>40603</v>
      </c>
    </row>
    <row r="3024" spans="6:8">
      <c r="F3024">
        <v>42847</v>
      </c>
      <c r="G3024">
        <v>6491</v>
      </c>
      <c r="H3024" s="9">
        <v>40607</v>
      </c>
    </row>
    <row r="3025" spans="6:8">
      <c r="F3025">
        <v>42876</v>
      </c>
      <c r="G3025">
        <v>181</v>
      </c>
      <c r="H3025" s="9">
        <v>40608</v>
      </c>
    </row>
    <row r="3026" spans="6:8">
      <c r="F3026">
        <v>42893</v>
      </c>
      <c r="G3026">
        <v>3819</v>
      </c>
      <c r="H3026" s="9">
        <v>40608</v>
      </c>
    </row>
    <row r="3027" spans="6:8">
      <c r="F3027">
        <v>42916</v>
      </c>
      <c r="G3027">
        <v>2131</v>
      </c>
      <c r="H3027" s="9">
        <v>40609</v>
      </c>
    </row>
    <row r="3028" spans="6:8">
      <c r="F3028">
        <v>42939</v>
      </c>
      <c r="G3028">
        <v>5201</v>
      </c>
      <c r="H3028" s="9">
        <v>40609</v>
      </c>
    </row>
    <row r="3029" spans="6:8">
      <c r="F3029">
        <v>42940</v>
      </c>
      <c r="G3029">
        <v>5344</v>
      </c>
      <c r="H3029" s="9">
        <v>40609</v>
      </c>
    </row>
    <row r="3030" spans="6:8">
      <c r="F3030">
        <v>42941</v>
      </c>
      <c r="G3030">
        <v>5336</v>
      </c>
      <c r="H3030" s="9">
        <v>40609</v>
      </c>
    </row>
    <row r="3031" spans="6:8">
      <c r="F3031">
        <v>42942</v>
      </c>
      <c r="G3031">
        <v>6055</v>
      </c>
      <c r="H3031" s="9">
        <v>40609</v>
      </c>
    </row>
    <row r="3032" spans="6:8">
      <c r="F3032">
        <v>42943</v>
      </c>
      <c r="G3032">
        <v>4295</v>
      </c>
      <c r="H3032" s="9">
        <v>40609</v>
      </c>
    </row>
    <row r="3033" spans="6:8">
      <c r="F3033">
        <v>42944</v>
      </c>
      <c r="G3033">
        <v>6040</v>
      </c>
      <c r="H3033" s="9">
        <v>40609</v>
      </c>
    </row>
    <row r="3034" spans="6:8">
      <c r="F3034">
        <v>42945</v>
      </c>
      <c r="G3034">
        <v>6250</v>
      </c>
      <c r="H3034" s="9">
        <v>40609</v>
      </c>
    </row>
    <row r="3035" spans="6:8">
      <c r="F3035">
        <v>42946</v>
      </c>
      <c r="G3035">
        <v>4690</v>
      </c>
      <c r="H3035" s="9">
        <v>40609</v>
      </c>
    </row>
    <row r="3036" spans="6:8">
      <c r="F3036">
        <v>42973</v>
      </c>
      <c r="G3036">
        <v>4224</v>
      </c>
      <c r="H3036" s="9">
        <v>40609</v>
      </c>
    </row>
    <row r="3037" spans="6:8">
      <c r="F3037">
        <v>43010</v>
      </c>
      <c r="G3037">
        <v>1525</v>
      </c>
      <c r="H3037" s="9">
        <v>40614</v>
      </c>
    </row>
    <row r="3038" spans="6:8">
      <c r="F3038">
        <v>43012</v>
      </c>
      <c r="G3038">
        <v>2836</v>
      </c>
      <c r="H3038" s="9">
        <v>40614</v>
      </c>
    </row>
    <row r="3039" spans="6:8">
      <c r="F3039">
        <v>43049</v>
      </c>
      <c r="G3039">
        <v>7702</v>
      </c>
      <c r="H3039" s="9">
        <v>40615</v>
      </c>
    </row>
    <row r="3040" spans="6:8">
      <c r="F3040">
        <v>43050</v>
      </c>
      <c r="G3040">
        <v>7703</v>
      </c>
      <c r="H3040" s="9">
        <v>40615</v>
      </c>
    </row>
    <row r="3041" spans="6:8">
      <c r="F3041">
        <v>43052</v>
      </c>
      <c r="G3041">
        <v>7077</v>
      </c>
      <c r="H3041" s="9">
        <v>40615</v>
      </c>
    </row>
    <row r="3042" spans="6:8">
      <c r="F3042">
        <v>43053</v>
      </c>
      <c r="G3042">
        <v>6875</v>
      </c>
      <c r="H3042" s="9">
        <v>40615</v>
      </c>
    </row>
    <row r="3043" spans="6:8">
      <c r="F3043">
        <v>43082</v>
      </c>
      <c r="G3043">
        <v>1454</v>
      </c>
      <c r="H3043" s="9">
        <v>40615</v>
      </c>
    </row>
    <row r="3044" spans="6:8">
      <c r="F3044">
        <v>43087</v>
      </c>
      <c r="G3044">
        <v>5942</v>
      </c>
      <c r="H3044" s="9">
        <v>40615</v>
      </c>
    </row>
    <row r="3045" spans="6:8">
      <c r="F3045">
        <v>43134</v>
      </c>
      <c r="G3045">
        <v>4603</v>
      </c>
      <c r="H3045" s="9">
        <v>40617</v>
      </c>
    </row>
    <row r="3046" spans="6:8">
      <c r="F3046">
        <v>43144</v>
      </c>
      <c r="G3046">
        <v>5644</v>
      </c>
      <c r="H3046" s="9">
        <v>40621</v>
      </c>
    </row>
    <row r="3047" spans="6:8">
      <c r="F3047">
        <v>43162</v>
      </c>
      <c r="G3047">
        <v>274</v>
      </c>
      <c r="H3047" s="9">
        <v>40621</v>
      </c>
    </row>
    <row r="3048" spans="6:8">
      <c r="F3048">
        <v>43168</v>
      </c>
      <c r="G3048">
        <v>7598</v>
      </c>
      <c r="H3048" s="9">
        <v>40621</v>
      </c>
    </row>
    <row r="3049" spans="6:8">
      <c r="F3049">
        <v>43172</v>
      </c>
      <c r="G3049">
        <v>7137</v>
      </c>
      <c r="H3049" s="9">
        <v>40621</v>
      </c>
    </row>
    <row r="3050" spans="6:8">
      <c r="F3050">
        <v>43226</v>
      </c>
      <c r="G3050">
        <v>4730</v>
      </c>
      <c r="H3050" s="9">
        <v>40621</v>
      </c>
    </row>
    <row r="3051" spans="6:8">
      <c r="F3051">
        <v>43242</v>
      </c>
      <c r="G3051">
        <v>1769</v>
      </c>
      <c r="H3051" s="9">
        <v>40621</v>
      </c>
    </row>
    <row r="3052" spans="6:8">
      <c r="F3052">
        <v>43260</v>
      </c>
      <c r="G3052">
        <v>663</v>
      </c>
      <c r="H3052" s="9">
        <v>40622</v>
      </c>
    </row>
    <row r="3053" spans="6:8">
      <c r="F3053">
        <v>43268</v>
      </c>
      <c r="G3053">
        <v>4097</v>
      </c>
      <c r="H3053" s="9">
        <v>40622</v>
      </c>
    </row>
    <row r="3054" spans="6:8">
      <c r="F3054">
        <v>43269</v>
      </c>
      <c r="G3054">
        <v>5499</v>
      </c>
      <c r="H3054" s="9">
        <v>40622</v>
      </c>
    </row>
    <row r="3055" spans="6:8">
      <c r="F3055">
        <v>43283</v>
      </c>
      <c r="G3055">
        <v>1539</v>
      </c>
      <c r="H3055" s="9">
        <v>40623</v>
      </c>
    </row>
    <row r="3056" spans="6:8">
      <c r="F3056">
        <v>43288</v>
      </c>
      <c r="G3056">
        <v>6514</v>
      </c>
      <c r="H3056" s="9">
        <v>40623</v>
      </c>
    </row>
    <row r="3057" spans="6:8">
      <c r="F3057">
        <v>43302</v>
      </c>
      <c r="G3057">
        <v>7532</v>
      </c>
      <c r="H3057" s="9">
        <v>40623</v>
      </c>
    </row>
    <row r="3058" spans="6:8">
      <c r="F3058">
        <v>43320</v>
      </c>
      <c r="G3058">
        <v>2958</v>
      </c>
      <c r="H3058" s="9">
        <v>40623</v>
      </c>
    </row>
    <row r="3059" spans="6:8">
      <c r="F3059">
        <v>43325</v>
      </c>
      <c r="G3059">
        <v>1793</v>
      </c>
      <c r="H3059" s="9">
        <v>40623</v>
      </c>
    </row>
    <row r="3060" spans="6:8">
      <c r="F3060">
        <v>43380</v>
      </c>
      <c r="G3060">
        <v>4307</v>
      </c>
      <c r="H3060" s="9">
        <v>40624</v>
      </c>
    </row>
    <row r="3061" spans="6:8">
      <c r="F3061">
        <v>43395</v>
      </c>
      <c r="G3061">
        <v>7224</v>
      </c>
      <c r="H3061" s="9">
        <v>40624</v>
      </c>
    </row>
    <row r="3062" spans="6:8">
      <c r="F3062">
        <v>43399</v>
      </c>
      <c r="G3062">
        <v>1170</v>
      </c>
      <c r="H3062" s="9">
        <v>40624</v>
      </c>
    </row>
    <row r="3063" spans="6:8">
      <c r="F3063">
        <v>43425</v>
      </c>
      <c r="G3063">
        <v>1785</v>
      </c>
      <c r="H3063" s="9">
        <v>40625</v>
      </c>
    </row>
    <row r="3064" spans="6:8">
      <c r="F3064">
        <v>43443</v>
      </c>
      <c r="G3064">
        <v>6500</v>
      </c>
      <c r="H3064" s="9">
        <v>40625</v>
      </c>
    </row>
    <row r="3065" spans="6:8">
      <c r="F3065">
        <v>43447</v>
      </c>
      <c r="G3065">
        <v>943</v>
      </c>
      <c r="H3065" s="9">
        <v>40625</v>
      </c>
    </row>
    <row r="3066" spans="6:8">
      <c r="F3066">
        <v>43451</v>
      </c>
      <c r="G3066">
        <v>1708</v>
      </c>
      <c r="H3066" s="9">
        <v>40625</v>
      </c>
    </row>
    <row r="3067" spans="6:8">
      <c r="F3067">
        <v>43483</v>
      </c>
      <c r="G3067">
        <v>305</v>
      </c>
      <c r="H3067" s="9">
        <v>40625</v>
      </c>
    </row>
    <row r="3068" spans="6:8">
      <c r="F3068">
        <v>43542</v>
      </c>
      <c r="G3068">
        <v>6469</v>
      </c>
      <c r="H3068" s="9">
        <v>40626</v>
      </c>
    </row>
    <row r="3069" spans="6:8">
      <c r="F3069">
        <v>43543</v>
      </c>
      <c r="G3069">
        <v>4692</v>
      </c>
      <c r="H3069" s="9">
        <v>40626</v>
      </c>
    </row>
    <row r="3070" spans="6:8">
      <c r="F3070">
        <v>43553</v>
      </c>
      <c r="G3070">
        <v>1786</v>
      </c>
      <c r="H3070" s="9">
        <v>40628</v>
      </c>
    </row>
    <row r="3071" spans="6:8">
      <c r="F3071">
        <v>43576</v>
      </c>
      <c r="G3071">
        <v>7225</v>
      </c>
      <c r="H3071" s="9">
        <v>40629</v>
      </c>
    </row>
    <row r="3072" spans="6:8">
      <c r="F3072">
        <v>43617</v>
      </c>
      <c r="G3072">
        <v>317</v>
      </c>
      <c r="H3072" s="9">
        <v>40630</v>
      </c>
    </row>
    <row r="3073" spans="6:8">
      <c r="F3073">
        <v>43630</v>
      </c>
      <c r="G3073">
        <v>6268</v>
      </c>
      <c r="H3073" s="9">
        <v>40630</v>
      </c>
    </row>
    <row r="3074" spans="6:8">
      <c r="F3074">
        <v>43640</v>
      </c>
      <c r="G3074">
        <v>7239</v>
      </c>
      <c r="H3074" s="9">
        <v>40630</v>
      </c>
    </row>
    <row r="3075" spans="6:8">
      <c r="F3075">
        <v>43650</v>
      </c>
      <c r="G3075">
        <v>1759</v>
      </c>
      <c r="H3075" s="9">
        <v>40630</v>
      </c>
    </row>
    <row r="3076" spans="6:8">
      <c r="F3076">
        <v>43652</v>
      </c>
      <c r="G3076">
        <v>2145</v>
      </c>
      <c r="H3076" s="9">
        <v>40630</v>
      </c>
    </row>
    <row r="3077" spans="6:8">
      <c r="F3077">
        <v>43667</v>
      </c>
      <c r="G3077">
        <v>124</v>
      </c>
      <c r="H3077" s="9">
        <v>40631</v>
      </c>
    </row>
    <row r="3078" spans="6:8">
      <c r="F3078">
        <v>43685</v>
      </c>
      <c r="G3078">
        <v>6569</v>
      </c>
      <c r="H3078" s="9">
        <v>40632</v>
      </c>
    </row>
    <row r="3079" spans="6:8">
      <c r="F3079">
        <v>43753</v>
      </c>
      <c r="G3079">
        <v>6868</v>
      </c>
      <c r="H3079" s="9">
        <v>40636</v>
      </c>
    </row>
    <row r="3080" spans="6:8">
      <c r="F3080">
        <v>43756</v>
      </c>
      <c r="G3080">
        <v>1502</v>
      </c>
      <c r="H3080" s="9">
        <v>40636</v>
      </c>
    </row>
    <row r="3081" spans="6:8">
      <c r="F3081">
        <v>43759</v>
      </c>
      <c r="G3081">
        <v>7416</v>
      </c>
      <c r="H3081" s="9">
        <v>40636</v>
      </c>
    </row>
    <row r="3082" spans="6:8">
      <c r="F3082">
        <v>43764</v>
      </c>
      <c r="G3082">
        <v>321</v>
      </c>
      <c r="H3082" s="9">
        <v>40636</v>
      </c>
    </row>
    <row r="3083" spans="6:8">
      <c r="F3083">
        <v>43771</v>
      </c>
      <c r="G3083">
        <v>7065</v>
      </c>
      <c r="H3083" s="9">
        <v>40636</v>
      </c>
    </row>
    <row r="3084" spans="6:8">
      <c r="F3084">
        <v>43772</v>
      </c>
      <c r="G3084">
        <v>6699</v>
      </c>
      <c r="H3084" s="9">
        <v>40636</v>
      </c>
    </row>
    <row r="3085" spans="6:8">
      <c r="F3085">
        <v>43806</v>
      </c>
      <c r="G3085">
        <v>379</v>
      </c>
      <c r="H3085" s="9">
        <v>40637</v>
      </c>
    </row>
    <row r="3086" spans="6:8">
      <c r="F3086">
        <v>43815</v>
      </c>
      <c r="G3086">
        <v>7507</v>
      </c>
      <c r="H3086" s="9">
        <v>40637</v>
      </c>
    </row>
    <row r="3087" spans="6:8">
      <c r="F3087">
        <v>43833</v>
      </c>
      <c r="G3087">
        <v>845</v>
      </c>
      <c r="H3087" s="9">
        <v>40638</v>
      </c>
    </row>
    <row r="3088" spans="6:8">
      <c r="F3088">
        <v>43853</v>
      </c>
      <c r="G3088">
        <v>2180</v>
      </c>
      <c r="H3088" s="9">
        <v>40639</v>
      </c>
    </row>
    <row r="3089" spans="6:8">
      <c r="F3089">
        <v>43879</v>
      </c>
      <c r="G3089">
        <v>47</v>
      </c>
      <c r="H3089" s="9">
        <v>40639</v>
      </c>
    </row>
    <row r="3090" spans="6:8">
      <c r="F3090">
        <v>43909</v>
      </c>
      <c r="G3090">
        <v>5830</v>
      </c>
      <c r="H3090" s="9">
        <v>40639</v>
      </c>
    </row>
    <row r="3091" spans="6:8">
      <c r="F3091">
        <v>43913</v>
      </c>
      <c r="G3091">
        <v>983</v>
      </c>
      <c r="H3091" s="9">
        <v>40639</v>
      </c>
    </row>
    <row r="3092" spans="6:8">
      <c r="F3092">
        <v>43922</v>
      </c>
      <c r="G3092">
        <v>7555</v>
      </c>
      <c r="H3092" s="9">
        <v>40639</v>
      </c>
    </row>
    <row r="3093" spans="6:8">
      <c r="F3093">
        <v>43939</v>
      </c>
      <c r="G3093">
        <v>2436</v>
      </c>
      <c r="H3093" s="9">
        <v>40642</v>
      </c>
    </row>
    <row r="3094" spans="6:8">
      <c r="F3094">
        <v>43945</v>
      </c>
      <c r="G3094">
        <v>6616</v>
      </c>
      <c r="H3094" s="9">
        <v>40642</v>
      </c>
    </row>
    <row r="3095" spans="6:8">
      <c r="F3095">
        <v>43963</v>
      </c>
      <c r="G3095">
        <v>5566</v>
      </c>
      <c r="H3095" s="9">
        <v>40643</v>
      </c>
    </row>
    <row r="3096" spans="6:8">
      <c r="F3096">
        <v>43994</v>
      </c>
      <c r="G3096">
        <v>6651</v>
      </c>
      <c r="H3096" s="9">
        <v>40643</v>
      </c>
    </row>
    <row r="3097" spans="6:8">
      <c r="F3097">
        <v>44006</v>
      </c>
      <c r="G3097">
        <v>221</v>
      </c>
      <c r="H3097" s="9">
        <v>40643</v>
      </c>
    </row>
    <row r="3098" spans="6:8">
      <c r="F3098">
        <v>44025</v>
      </c>
      <c r="G3098">
        <v>2901</v>
      </c>
      <c r="H3098" s="9">
        <v>40644</v>
      </c>
    </row>
    <row r="3099" spans="6:8">
      <c r="F3099">
        <v>44040</v>
      </c>
      <c r="G3099">
        <v>5946</v>
      </c>
      <c r="H3099" s="9">
        <v>40644</v>
      </c>
    </row>
    <row r="3100" spans="6:8">
      <c r="F3100">
        <v>44067</v>
      </c>
      <c r="G3100">
        <v>1062</v>
      </c>
      <c r="H3100" s="9">
        <v>40644</v>
      </c>
    </row>
    <row r="3101" spans="6:8">
      <c r="F3101">
        <v>44070</v>
      </c>
      <c r="G3101">
        <v>2203</v>
      </c>
      <c r="H3101" s="9">
        <v>40645</v>
      </c>
    </row>
    <row r="3102" spans="6:8">
      <c r="F3102">
        <v>44079</v>
      </c>
      <c r="G3102">
        <v>7112</v>
      </c>
      <c r="H3102" s="9">
        <v>40644</v>
      </c>
    </row>
    <row r="3103" spans="6:8">
      <c r="F3103">
        <v>44100</v>
      </c>
      <c r="G3103">
        <v>6224</v>
      </c>
      <c r="H3103" s="9">
        <v>40646</v>
      </c>
    </row>
    <row r="3104" spans="6:8">
      <c r="F3104">
        <v>44105</v>
      </c>
      <c r="G3104">
        <v>4126</v>
      </c>
      <c r="H3104" s="9">
        <v>40646</v>
      </c>
    </row>
    <row r="3105" spans="6:8">
      <c r="F3105">
        <v>44110</v>
      </c>
      <c r="G3105">
        <v>6880</v>
      </c>
      <c r="H3105" s="9">
        <v>40649</v>
      </c>
    </row>
    <row r="3106" spans="6:8">
      <c r="F3106">
        <v>44118</v>
      </c>
      <c r="G3106">
        <v>6433</v>
      </c>
      <c r="H3106" s="9">
        <v>40649</v>
      </c>
    </row>
    <row r="3107" spans="6:8">
      <c r="F3107">
        <v>44124</v>
      </c>
      <c r="G3107">
        <v>7334</v>
      </c>
      <c r="H3107" s="9">
        <v>40649</v>
      </c>
    </row>
    <row r="3108" spans="6:8">
      <c r="F3108">
        <v>44135</v>
      </c>
      <c r="G3108">
        <v>574</v>
      </c>
      <c r="H3108" s="9">
        <v>40649</v>
      </c>
    </row>
    <row r="3109" spans="6:8">
      <c r="F3109">
        <v>44174</v>
      </c>
      <c r="G3109">
        <v>3818</v>
      </c>
      <c r="H3109" s="9">
        <v>40651</v>
      </c>
    </row>
    <row r="3110" spans="6:8">
      <c r="F3110">
        <v>44175</v>
      </c>
      <c r="G3110">
        <v>4202</v>
      </c>
      <c r="H3110" s="9">
        <v>40651</v>
      </c>
    </row>
    <row r="3111" spans="6:8">
      <c r="F3111">
        <v>44194</v>
      </c>
      <c r="G3111">
        <v>7355</v>
      </c>
      <c r="H3111" s="9">
        <v>40652</v>
      </c>
    </row>
    <row r="3112" spans="6:8">
      <c r="F3112">
        <v>44204</v>
      </c>
      <c r="G3112">
        <v>7652</v>
      </c>
      <c r="H3112" s="9">
        <v>40652</v>
      </c>
    </row>
    <row r="3113" spans="6:8">
      <c r="F3113">
        <v>44207</v>
      </c>
      <c r="G3113">
        <v>2114</v>
      </c>
      <c r="H3113" s="9">
        <v>40652</v>
      </c>
    </row>
    <row r="3114" spans="6:8">
      <c r="F3114">
        <v>44210</v>
      </c>
      <c r="G3114">
        <v>3405</v>
      </c>
      <c r="H3114" s="9">
        <v>40652</v>
      </c>
    </row>
    <row r="3115" spans="6:8">
      <c r="F3115">
        <v>44214</v>
      </c>
      <c r="G3115">
        <v>4642</v>
      </c>
      <c r="H3115" s="9">
        <v>40652</v>
      </c>
    </row>
    <row r="3116" spans="6:8">
      <c r="F3116">
        <v>44225</v>
      </c>
      <c r="G3116">
        <v>2860</v>
      </c>
      <c r="H3116" s="9">
        <v>40652</v>
      </c>
    </row>
    <row r="3117" spans="6:8">
      <c r="F3117">
        <v>44236</v>
      </c>
      <c r="G3117">
        <v>1055</v>
      </c>
      <c r="H3117" s="9">
        <v>40652</v>
      </c>
    </row>
    <row r="3118" spans="6:8">
      <c r="F3118">
        <v>44260</v>
      </c>
      <c r="G3118">
        <v>2861</v>
      </c>
      <c r="H3118" s="9">
        <v>40656</v>
      </c>
    </row>
    <row r="3119" spans="6:8">
      <c r="F3119">
        <v>44277</v>
      </c>
      <c r="G3119">
        <v>1436</v>
      </c>
      <c r="H3119" s="9">
        <v>40656</v>
      </c>
    </row>
    <row r="3120" spans="6:8">
      <c r="F3120">
        <v>44280</v>
      </c>
      <c r="G3120">
        <v>4953</v>
      </c>
      <c r="H3120" s="9">
        <v>40656</v>
      </c>
    </row>
    <row r="3121" spans="6:8">
      <c r="F3121">
        <v>44285</v>
      </c>
      <c r="G3121">
        <v>6296</v>
      </c>
      <c r="H3121" s="9">
        <v>40656</v>
      </c>
    </row>
    <row r="3122" spans="6:8">
      <c r="F3122">
        <v>44339</v>
      </c>
      <c r="G3122">
        <v>7642</v>
      </c>
      <c r="H3122" s="9">
        <v>40657</v>
      </c>
    </row>
    <row r="3123" spans="6:8">
      <c r="F3123">
        <v>44360</v>
      </c>
      <c r="G3123">
        <v>50</v>
      </c>
      <c r="H3123" s="9">
        <v>40657</v>
      </c>
    </row>
    <row r="3124" spans="6:8">
      <c r="F3124">
        <v>44377</v>
      </c>
      <c r="G3124">
        <v>5107</v>
      </c>
      <c r="H3124" s="9">
        <v>40658</v>
      </c>
    </row>
    <row r="3125" spans="6:8">
      <c r="F3125">
        <v>44380</v>
      </c>
      <c r="G3125">
        <v>3539</v>
      </c>
      <c r="H3125" s="9">
        <v>40658</v>
      </c>
    </row>
    <row r="3126" spans="6:8">
      <c r="F3126">
        <v>44388</v>
      </c>
      <c r="G3126">
        <v>117</v>
      </c>
      <c r="H3126" s="9">
        <v>40658</v>
      </c>
    </row>
    <row r="3127" spans="6:8">
      <c r="F3127">
        <v>44404</v>
      </c>
      <c r="G3127">
        <v>6839</v>
      </c>
      <c r="H3127" s="9">
        <v>40658</v>
      </c>
    </row>
    <row r="3128" spans="6:8">
      <c r="F3128">
        <v>44428</v>
      </c>
      <c r="G3128">
        <v>5323</v>
      </c>
      <c r="H3128" s="9">
        <v>40659</v>
      </c>
    </row>
    <row r="3129" spans="6:8">
      <c r="F3129">
        <v>44432</v>
      </c>
      <c r="G3129">
        <v>4612</v>
      </c>
      <c r="H3129" s="9">
        <v>40659</v>
      </c>
    </row>
    <row r="3130" spans="6:8">
      <c r="F3130">
        <v>44436</v>
      </c>
      <c r="G3130">
        <v>5736</v>
      </c>
      <c r="H3130" s="9">
        <v>40659</v>
      </c>
    </row>
    <row r="3131" spans="6:8">
      <c r="F3131">
        <v>44459</v>
      </c>
      <c r="G3131">
        <v>7399</v>
      </c>
      <c r="H3131" s="9">
        <v>40660</v>
      </c>
    </row>
    <row r="3132" spans="6:8">
      <c r="F3132">
        <v>44463</v>
      </c>
      <c r="G3132">
        <v>114</v>
      </c>
      <c r="H3132" s="9">
        <v>40660</v>
      </c>
    </row>
    <row r="3133" spans="6:8">
      <c r="F3133">
        <v>44471</v>
      </c>
      <c r="G3133">
        <v>7424</v>
      </c>
      <c r="H3133" s="9">
        <v>40660</v>
      </c>
    </row>
    <row r="3134" spans="6:8">
      <c r="F3134">
        <v>44494</v>
      </c>
      <c r="G3134">
        <v>6730</v>
      </c>
      <c r="H3134" s="9">
        <v>40661</v>
      </c>
    </row>
    <row r="3135" spans="6:8">
      <c r="F3135">
        <v>44499</v>
      </c>
      <c r="G3135">
        <v>2405</v>
      </c>
      <c r="H3135" s="9">
        <v>40661</v>
      </c>
    </row>
    <row r="3136" spans="6:8">
      <c r="F3136">
        <v>44501</v>
      </c>
      <c r="G3136">
        <v>7719</v>
      </c>
      <c r="H3136" s="9">
        <v>40661</v>
      </c>
    </row>
    <row r="3137" spans="6:8">
      <c r="F3137">
        <v>44502</v>
      </c>
      <c r="G3137">
        <v>7586</v>
      </c>
      <c r="H3137" s="9">
        <v>40661</v>
      </c>
    </row>
    <row r="3138" spans="6:8">
      <c r="F3138">
        <v>44505</v>
      </c>
      <c r="G3138">
        <v>4945</v>
      </c>
      <c r="H3138" s="9">
        <v>40661</v>
      </c>
    </row>
    <row r="3139" spans="6:8">
      <c r="F3139">
        <v>44507</v>
      </c>
      <c r="G3139">
        <v>4371</v>
      </c>
      <c r="H3139" s="9">
        <v>40661</v>
      </c>
    </row>
    <row r="3140" spans="6:8">
      <c r="F3140">
        <v>44509</v>
      </c>
      <c r="G3140">
        <v>493</v>
      </c>
      <c r="H3140" s="9">
        <v>40661</v>
      </c>
    </row>
    <row r="3141" spans="6:8">
      <c r="F3141">
        <v>44511</v>
      </c>
      <c r="G3141">
        <v>2555</v>
      </c>
      <c r="H3141" s="9">
        <v>40661</v>
      </c>
    </row>
    <row r="3142" spans="6:8">
      <c r="F3142">
        <v>44533</v>
      </c>
      <c r="G3142">
        <v>5749</v>
      </c>
      <c r="H3142" s="9">
        <v>40664</v>
      </c>
    </row>
    <row r="3143" spans="6:8">
      <c r="F3143">
        <v>44579</v>
      </c>
      <c r="G3143">
        <v>2963</v>
      </c>
      <c r="H3143" s="9">
        <v>40664</v>
      </c>
    </row>
    <row r="3144" spans="6:8">
      <c r="F3144">
        <v>44639</v>
      </c>
      <c r="G3144">
        <v>1488</v>
      </c>
      <c r="H3144" s="9">
        <v>40665</v>
      </c>
    </row>
    <row r="3145" spans="6:8">
      <c r="F3145">
        <v>44645</v>
      </c>
      <c r="G3145">
        <v>1473</v>
      </c>
      <c r="H3145" s="9">
        <v>40665</v>
      </c>
    </row>
    <row r="3146" spans="6:8">
      <c r="F3146">
        <v>44655</v>
      </c>
      <c r="G3146">
        <v>7655</v>
      </c>
      <c r="H3146" s="9">
        <v>40670</v>
      </c>
    </row>
    <row r="3147" spans="6:8">
      <c r="F3147">
        <v>44658</v>
      </c>
      <c r="G3147">
        <v>7729</v>
      </c>
      <c r="H3147" s="9">
        <v>40670</v>
      </c>
    </row>
    <row r="3148" spans="6:8">
      <c r="F3148">
        <v>44670</v>
      </c>
      <c r="G3148">
        <v>7731</v>
      </c>
      <c r="H3148" s="9">
        <v>40670</v>
      </c>
    </row>
    <row r="3149" spans="6:8">
      <c r="F3149">
        <v>44680</v>
      </c>
      <c r="G3149">
        <v>5915</v>
      </c>
      <c r="H3149" s="9">
        <v>40670</v>
      </c>
    </row>
    <row r="3150" spans="6:8">
      <c r="F3150">
        <v>44685</v>
      </c>
      <c r="G3150">
        <v>7418</v>
      </c>
      <c r="H3150" s="9">
        <v>40670</v>
      </c>
    </row>
    <row r="3151" spans="6:8">
      <c r="F3151">
        <v>44688</v>
      </c>
      <c r="G3151">
        <v>5236</v>
      </c>
      <c r="H3151" s="9">
        <v>40670</v>
      </c>
    </row>
    <row r="3152" spans="6:8">
      <c r="F3152">
        <v>44704</v>
      </c>
      <c r="G3152">
        <v>4604</v>
      </c>
      <c r="H3152" s="9">
        <v>40670</v>
      </c>
    </row>
    <row r="3153" spans="6:8">
      <c r="F3153">
        <v>44715</v>
      </c>
      <c r="G3153">
        <v>1733</v>
      </c>
      <c r="H3153" s="9">
        <v>40670</v>
      </c>
    </row>
    <row r="3154" spans="6:8">
      <c r="F3154">
        <v>44729</v>
      </c>
      <c r="G3154">
        <v>4262</v>
      </c>
      <c r="H3154" s="9">
        <v>40667</v>
      </c>
    </row>
    <row r="3155" spans="6:8">
      <c r="F3155">
        <v>44758</v>
      </c>
      <c r="G3155">
        <v>2524</v>
      </c>
      <c r="H3155" s="9">
        <v>40672</v>
      </c>
    </row>
    <row r="3156" spans="6:8">
      <c r="F3156">
        <v>44765</v>
      </c>
      <c r="G3156">
        <v>7596</v>
      </c>
      <c r="H3156" s="9">
        <v>40672</v>
      </c>
    </row>
    <row r="3157" spans="6:8">
      <c r="F3157">
        <v>44767</v>
      </c>
      <c r="G3157">
        <v>2777</v>
      </c>
      <c r="H3157" s="9">
        <v>40672</v>
      </c>
    </row>
    <row r="3158" spans="6:8">
      <c r="F3158">
        <v>44769</v>
      </c>
      <c r="G3158">
        <v>2657</v>
      </c>
      <c r="H3158" s="9">
        <v>40672</v>
      </c>
    </row>
    <row r="3159" spans="6:8">
      <c r="F3159">
        <v>44772</v>
      </c>
      <c r="G3159">
        <v>6050</v>
      </c>
      <c r="H3159" s="9">
        <v>40672</v>
      </c>
    </row>
    <row r="3160" spans="6:8">
      <c r="F3160">
        <v>44773</v>
      </c>
      <c r="G3160">
        <v>172</v>
      </c>
      <c r="H3160" s="9">
        <v>40672</v>
      </c>
    </row>
    <row r="3161" spans="6:8">
      <c r="F3161">
        <v>44774</v>
      </c>
      <c r="G3161">
        <v>4620</v>
      </c>
      <c r="H3161" s="9">
        <v>40672</v>
      </c>
    </row>
    <row r="3162" spans="6:8">
      <c r="F3162">
        <v>44775</v>
      </c>
      <c r="G3162">
        <v>168</v>
      </c>
      <c r="H3162" s="9">
        <v>40672</v>
      </c>
    </row>
    <row r="3163" spans="6:8">
      <c r="F3163">
        <v>44792</v>
      </c>
      <c r="G3163">
        <v>1698</v>
      </c>
      <c r="H3163" s="9">
        <v>40672</v>
      </c>
    </row>
    <row r="3164" spans="6:8">
      <c r="F3164">
        <v>44810</v>
      </c>
      <c r="G3164">
        <v>4773</v>
      </c>
      <c r="H3164" s="9">
        <v>40672</v>
      </c>
    </row>
    <row r="3165" spans="6:8">
      <c r="F3165">
        <v>44815</v>
      </c>
      <c r="G3165">
        <v>3715</v>
      </c>
      <c r="H3165" s="9">
        <v>40672</v>
      </c>
    </row>
    <row r="3166" spans="6:8">
      <c r="F3166">
        <v>44817</v>
      </c>
      <c r="G3166">
        <v>6005</v>
      </c>
      <c r="H3166" s="9">
        <v>40672</v>
      </c>
    </row>
    <row r="3167" spans="6:8">
      <c r="F3167">
        <v>44822</v>
      </c>
      <c r="G3167">
        <v>5728</v>
      </c>
      <c r="H3167" s="9">
        <v>40672</v>
      </c>
    </row>
    <row r="3168" spans="6:8">
      <c r="F3168">
        <v>44827</v>
      </c>
      <c r="G3168">
        <v>7081</v>
      </c>
      <c r="H3168" s="9">
        <v>40672</v>
      </c>
    </row>
    <row r="3169" spans="6:8">
      <c r="F3169">
        <v>44847</v>
      </c>
      <c r="G3169">
        <v>7325</v>
      </c>
      <c r="H3169" s="9">
        <v>40672</v>
      </c>
    </row>
    <row r="3170" spans="6:8">
      <c r="F3170">
        <v>44901</v>
      </c>
      <c r="G3170">
        <v>3109</v>
      </c>
      <c r="H3170" s="9">
        <v>40672</v>
      </c>
    </row>
    <row r="3171" spans="6:8">
      <c r="F3171">
        <v>44908</v>
      </c>
      <c r="G3171">
        <v>4968</v>
      </c>
      <c r="H3171" s="9">
        <v>40672</v>
      </c>
    </row>
    <row r="3172" spans="6:8">
      <c r="F3172">
        <v>44929</v>
      </c>
      <c r="G3172">
        <v>6796</v>
      </c>
      <c r="H3172" s="9">
        <v>40667</v>
      </c>
    </row>
    <row r="3173" spans="6:8">
      <c r="F3173">
        <v>44942</v>
      </c>
      <c r="G3173">
        <v>5824</v>
      </c>
      <c r="H3173" s="9">
        <v>40673</v>
      </c>
    </row>
    <row r="3174" spans="6:8">
      <c r="F3174">
        <v>44951</v>
      </c>
      <c r="G3174">
        <v>130</v>
      </c>
      <c r="H3174" s="9">
        <v>40673</v>
      </c>
    </row>
    <row r="3175" spans="6:8">
      <c r="F3175">
        <v>44957</v>
      </c>
      <c r="G3175">
        <v>5234</v>
      </c>
      <c r="H3175" s="9">
        <v>40673</v>
      </c>
    </row>
    <row r="3176" spans="6:8">
      <c r="F3176">
        <v>44959</v>
      </c>
      <c r="G3176">
        <v>7369</v>
      </c>
      <c r="H3176" s="9">
        <v>40673</v>
      </c>
    </row>
    <row r="3177" spans="6:8">
      <c r="F3177">
        <v>44962</v>
      </c>
      <c r="G3177">
        <v>1518</v>
      </c>
      <c r="H3177" s="9">
        <v>40673</v>
      </c>
    </row>
    <row r="3178" spans="6:8">
      <c r="F3178">
        <v>44965</v>
      </c>
      <c r="G3178">
        <v>2820</v>
      </c>
      <c r="H3178" s="9">
        <v>40673</v>
      </c>
    </row>
    <row r="3179" spans="6:8">
      <c r="F3179">
        <v>44966</v>
      </c>
      <c r="G3179">
        <v>7521</v>
      </c>
      <c r="H3179" s="9">
        <v>40673</v>
      </c>
    </row>
    <row r="3180" spans="6:8">
      <c r="F3180">
        <v>44974</v>
      </c>
      <c r="G3180">
        <v>6733</v>
      </c>
      <c r="H3180" s="9">
        <v>40673</v>
      </c>
    </row>
    <row r="3181" spans="6:8">
      <c r="F3181">
        <v>44995</v>
      </c>
      <c r="G3181">
        <v>956</v>
      </c>
      <c r="H3181" s="9">
        <v>40677</v>
      </c>
    </row>
    <row r="3182" spans="6:8">
      <c r="F3182">
        <v>44998</v>
      </c>
      <c r="G3182">
        <v>4225</v>
      </c>
      <c r="H3182" s="9">
        <v>40677</v>
      </c>
    </row>
    <row r="3183" spans="6:8">
      <c r="F3183">
        <v>45013</v>
      </c>
      <c r="G3183">
        <v>3746</v>
      </c>
      <c r="H3183" s="9">
        <v>40677</v>
      </c>
    </row>
    <row r="3184" spans="6:8">
      <c r="F3184">
        <v>45065</v>
      </c>
      <c r="G3184">
        <v>6689</v>
      </c>
      <c r="H3184" s="9">
        <v>40678</v>
      </c>
    </row>
    <row r="3185" spans="6:8">
      <c r="F3185">
        <v>45076</v>
      </c>
      <c r="G3185">
        <v>7735</v>
      </c>
      <c r="H3185" s="9">
        <v>40673</v>
      </c>
    </row>
    <row r="3186" spans="6:8">
      <c r="F3186">
        <v>45091</v>
      </c>
      <c r="G3186">
        <v>4384</v>
      </c>
      <c r="H3186" s="9">
        <v>40680</v>
      </c>
    </row>
    <row r="3187" spans="6:8">
      <c r="F3187">
        <v>45120</v>
      </c>
      <c r="G3187">
        <v>7612</v>
      </c>
      <c r="H3187" s="9">
        <v>40680</v>
      </c>
    </row>
    <row r="3188" spans="6:8">
      <c r="F3188">
        <v>45152</v>
      </c>
      <c r="G3188">
        <v>2028</v>
      </c>
      <c r="H3188" s="9">
        <v>40682</v>
      </c>
    </row>
    <row r="3189" spans="6:8">
      <c r="F3189">
        <v>45184</v>
      </c>
      <c r="G3189">
        <v>4792</v>
      </c>
      <c r="H3189" s="9">
        <v>40682</v>
      </c>
    </row>
    <row r="3190" spans="6:8">
      <c r="F3190">
        <v>45191</v>
      </c>
      <c r="G3190">
        <v>5153</v>
      </c>
      <c r="H3190" s="9">
        <v>40682</v>
      </c>
    </row>
    <row r="3191" spans="6:8">
      <c r="F3191">
        <v>45196</v>
      </c>
      <c r="G3191">
        <v>5232</v>
      </c>
      <c r="H3191" s="9">
        <v>40682</v>
      </c>
    </row>
    <row r="3192" spans="6:8">
      <c r="F3192">
        <v>45217</v>
      </c>
      <c r="G3192">
        <v>3918</v>
      </c>
      <c r="H3192" s="9">
        <v>40686</v>
      </c>
    </row>
    <row r="3193" spans="6:8">
      <c r="F3193">
        <v>45219</v>
      </c>
      <c r="G3193">
        <v>265</v>
      </c>
      <c r="H3193" s="9">
        <v>40686</v>
      </c>
    </row>
    <row r="3194" spans="6:8">
      <c r="F3194">
        <v>45222</v>
      </c>
      <c r="G3194">
        <v>708</v>
      </c>
      <c r="H3194" s="9">
        <v>40686</v>
      </c>
    </row>
    <row r="3195" spans="6:8">
      <c r="F3195">
        <v>45241</v>
      </c>
      <c r="G3195">
        <v>6581</v>
      </c>
      <c r="H3195" s="9">
        <v>40686</v>
      </c>
    </row>
    <row r="3196" spans="6:8">
      <c r="F3196">
        <v>45274</v>
      </c>
      <c r="G3196">
        <v>4861</v>
      </c>
      <c r="H3196" s="9">
        <v>40686</v>
      </c>
    </row>
    <row r="3197" spans="6:8">
      <c r="F3197">
        <v>45283</v>
      </c>
      <c r="G3197">
        <v>1649</v>
      </c>
      <c r="H3197" s="9">
        <v>40686</v>
      </c>
    </row>
    <row r="3198" spans="6:8">
      <c r="F3198">
        <v>45293</v>
      </c>
      <c r="G3198">
        <v>6998</v>
      </c>
      <c r="H3198" s="9">
        <v>40686</v>
      </c>
    </row>
    <row r="3199" spans="6:8">
      <c r="F3199">
        <v>45303</v>
      </c>
      <c r="G3199">
        <v>7046</v>
      </c>
      <c r="H3199" s="9">
        <v>40686</v>
      </c>
    </row>
    <row r="3200" spans="6:8">
      <c r="F3200">
        <v>45304</v>
      </c>
      <c r="G3200">
        <v>7463</v>
      </c>
      <c r="H3200" s="9">
        <v>40686</v>
      </c>
    </row>
    <row r="3201" spans="6:8">
      <c r="F3201">
        <v>45306</v>
      </c>
      <c r="G3201">
        <v>7165</v>
      </c>
      <c r="H3201" s="9">
        <v>40699</v>
      </c>
    </row>
    <row r="3202" spans="6:8">
      <c r="F3202">
        <v>45322</v>
      </c>
      <c r="G3202">
        <v>5548</v>
      </c>
      <c r="H3202" s="9">
        <v>40699</v>
      </c>
    </row>
    <row r="3203" spans="6:8">
      <c r="F3203">
        <v>45323</v>
      </c>
      <c r="G3203">
        <v>3386</v>
      </c>
      <c r="H3203" s="9">
        <v>40699</v>
      </c>
    </row>
    <row r="3204" spans="6:8">
      <c r="F3204">
        <v>45333</v>
      </c>
      <c r="G3204">
        <v>7745</v>
      </c>
      <c r="H3204" s="9">
        <v>40699</v>
      </c>
    </row>
    <row r="3205" spans="6:8">
      <c r="F3205">
        <v>45378</v>
      </c>
      <c r="G3205">
        <v>6764</v>
      </c>
      <c r="H3205" s="9">
        <v>40700</v>
      </c>
    </row>
    <row r="3206" spans="6:8">
      <c r="F3206">
        <v>45395</v>
      </c>
      <c r="G3206">
        <v>7162</v>
      </c>
      <c r="H3206" s="9">
        <v>40701</v>
      </c>
    </row>
    <row r="3207" spans="6:8">
      <c r="F3207">
        <v>45401</v>
      </c>
      <c r="G3207">
        <v>7757</v>
      </c>
      <c r="H3207" s="9">
        <v>40702</v>
      </c>
    </row>
    <row r="3208" spans="6:8">
      <c r="F3208">
        <v>45425</v>
      </c>
      <c r="G3208">
        <v>20</v>
      </c>
      <c r="H3208" s="9">
        <v>40702</v>
      </c>
    </row>
    <row r="3209" spans="6:8">
      <c r="F3209">
        <v>45440</v>
      </c>
      <c r="G3209">
        <v>3965</v>
      </c>
      <c r="H3209" s="9">
        <v>40702</v>
      </c>
    </row>
    <row r="3210" spans="6:8">
      <c r="F3210">
        <v>45462</v>
      </c>
      <c r="G3210">
        <v>7760</v>
      </c>
      <c r="H3210" s="9">
        <v>40705</v>
      </c>
    </row>
    <row r="3211" spans="6:8">
      <c r="F3211">
        <v>45468</v>
      </c>
      <c r="G3211">
        <v>7751</v>
      </c>
      <c r="H3211" s="9">
        <v>40705</v>
      </c>
    </row>
    <row r="3212" spans="6:8">
      <c r="F3212">
        <v>45510</v>
      </c>
      <c r="G3212">
        <v>1904</v>
      </c>
      <c r="H3212" s="9">
        <v>40705</v>
      </c>
    </row>
    <row r="3213" spans="6:8">
      <c r="F3213">
        <v>45515</v>
      </c>
      <c r="G3213">
        <v>7402</v>
      </c>
      <c r="H3213" s="9">
        <v>40706</v>
      </c>
    </row>
    <row r="3214" spans="6:8">
      <c r="F3214">
        <v>45517</v>
      </c>
      <c r="G3214">
        <v>6085</v>
      </c>
      <c r="H3214" s="9">
        <v>40706</v>
      </c>
    </row>
    <row r="3215" spans="6:8">
      <c r="F3215">
        <v>45519</v>
      </c>
      <c r="G3215">
        <v>5808</v>
      </c>
      <c r="H3215" s="9">
        <v>40706</v>
      </c>
    </row>
    <row r="3216" spans="6:8">
      <c r="F3216">
        <v>45522</v>
      </c>
      <c r="G3216">
        <v>4390</v>
      </c>
      <c r="H3216" s="9">
        <v>40706</v>
      </c>
    </row>
    <row r="3217" spans="6:8">
      <c r="F3217">
        <v>45527</v>
      </c>
      <c r="G3217">
        <v>2865</v>
      </c>
      <c r="H3217" s="9">
        <v>40706</v>
      </c>
    </row>
    <row r="3218" spans="6:8">
      <c r="F3218">
        <v>45535</v>
      </c>
      <c r="G3218">
        <v>6504</v>
      </c>
      <c r="H3218" s="9">
        <v>40706</v>
      </c>
    </row>
    <row r="3219" spans="6:8">
      <c r="F3219">
        <v>45537</v>
      </c>
      <c r="G3219">
        <v>691</v>
      </c>
      <c r="H3219" s="9">
        <v>40706</v>
      </c>
    </row>
    <row r="3220" spans="6:8">
      <c r="F3220">
        <v>45538</v>
      </c>
      <c r="G3220">
        <v>1378</v>
      </c>
      <c r="H3220" s="9">
        <v>40706</v>
      </c>
    </row>
    <row r="3221" spans="6:8">
      <c r="F3221">
        <v>45546</v>
      </c>
      <c r="G3221">
        <v>457</v>
      </c>
      <c r="H3221" s="9">
        <v>40707</v>
      </c>
    </row>
    <row r="3222" spans="6:8">
      <c r="F3222">
        <v>45657</v>
      </c>
      <c r="G3222">
        <v>7192</v>
      </c>
      <c r="H3222" s="9">
        <v>40712</v>
      </c>
    </row>
    <row r="3223" spans="6:8">
      <c r="F3223">
        <v>45664</v>
      </c>
      <c r="G3223">
        <v>4358</v>
      </c>
      <c r="H3223" s="9">
        <v>40712</v>
      </c>
    </row>
    <row r="3224" spans="6:8">
      <c r="F3224">
        <v>45668</v>
      </c>
      <c r="G3224">
        <v>5753</v>
      </c>
      <c r="H3224" s="9">
        <v>40712</v>
      </c>
    </row>
    <row r="3225" spans="6:8">
      <c r="F3225">
        <v>45675</v>
      </c>
      <c r="G3225">
        <v>7055</v>
      </c>
      <c r="H3225" s="9">
        <v>40712</v>
      </c>
    </row>
    <row r="3226" spans="6:8">
      <c r="F3226">
        <v>45720</v>
      </c>
      <c r="G3226">
        <v>3686</v>
      </c>
      <c r="H3226" s="9">
        <v>40715</v>
      </c>
    </row>
    <row r="3227" spans="6:8">
      <c r="F3227">
        <v>45729</v>
      </c>
      <c r="G3227">
        <v>4900</v>
      </c>
      <c r="H3227" s="9">
        <v>40715</v>
      </c>
    </row>
    <row r="3228" spans="6:8">
      <c r="F3228">
        <v>45730</v>
      </c>
      <c r="G3228">
        <v>7628</v>
      </c>
      <c r="H3228" s="9">
        <v>40715</v>
      </c>
    </row>
    <row r="3229" spans="6:8">
      <c r="F3229">
        <v>45756</v>
      </c>
      <c r="G3229">
        <v>4282</v>
      </c>
      <c r="H3229" s="9">
        <v>40715</v>
      </c>
    </row>
    <row r="3230" spans="6:8">
      <c r="F3230">
        <v>45762</v>
      </c>
      <c r="G3230">
        <v>1612</v>
      </c>
      <c r="H3230" s="9">
        <v>40715</v>
      </c>
    </row>
    <row r="3231" spans="6:8">
      <c r="F3231">
        <v>45764</v>
      </c>
      <c r="G3231">
        <v>7082</v>
      </c>
      <c r="H3231" s="9">
        <v>40715</v>
      </c>
    </row>
    <row r="3232" spans="6:8">
      <c r="F3232">
        <v>45797</v>
      </c>
      <c r="G3232">
        <v>7091</v>
      </c>
      <c r="H3232" s="9">
        <v>40715</v>
      </c>
    </row>
    <row r="3233" spans="6:8">
      <c r="F3233">
        <v>45801</v>
      </c>
      <c r="G3233">
        <v>4382</v>
      </c>
      <c r="H3233" s="9">
        <v>40719</v>
      </c>
    </row>
    <row r="3234" spans="6:8">
      <c r="F3234">
        <v>45803</v>
      </c>
      <c r="G3234">
        <v>7711</v>
      </c>
      <c r="H3234" s="9">
        <v>40719</v>
      </c>
    </row>
    <row r="3235" spans="6:8">
      <c r="F3235">
        <v>45811</v>
      </c>
      <c r="G3235">
        <v>3681</v>
      </c>
      <c r="H3235" s="9">
        <v>40719</v>
      </c>
    </row>
    <row r="3236" spans="6:8">
      <c r="F3236">
        <v>45813</v>
      </c>
      <c r="G3236">
        <v>6240</v>
      </c>
      <c r="H3236" s="9">
        <v>40719</v>
      </c>
    </row>
    <row r="3237" spans="6:8">
      <c r="F3237">
        <v>45826</v>
      </c>
      <c r="G3237">
        <v>1121</v>
      </c>
      <c r="H3237" s="9">
        <v>40719</v>
      </c>
    </row>
    <row r="3238" spans="6:8">
      <c r="F3238">
        <v>45834</v>
      </c>
      <c r="G3238">
        <v>4704</v>
      </c>
      <c r="H3238" s="9">
        <v>40719</v>
      </c>
    </row>
    <row r="3239" spans="6:8">
      <c r="F3239">
        <v>45840</v>
      </c>
      <c r="G3239">
        <v>6664</v>
      </c>
      <c r="H3239" s="9">
        <v>40719</v>
      </c>
    </row>
    <row r="3240" spans="6:8">
      <c r="F3240">
        <v>45857</v>
      </c>
      <c r="G3240">
        <v>640</v>
      </c>
      <c r="H3240" s="9">
        <v>40719</v>
      </c>
    </row>
    <row r="3241" spans="6:8">
      <c r="F3241">
        <v>45865</v>
      </c>
      <c r="G3241">
        <v>4430</v>
      </c>
      <c r="H3241" s="9">
        <v>40719</v>
      </c>
    </row>
    <row r="3242" spans="6:8">
      <c r="F3242">
        <v>45885</v>
      </c>
      <c r="G3242">
        <v>7054</v>
      </c>
      <c r="H3242" s="9">
        <v>40719</v>
      </c>
    </row>
    <row r="3243" spans="6:8">
      <c r="F3243">
        <v>45887</v>
      </c>
      <c r="G3243">
        <v>3434</v>
      </c>
      <c r="H3243" s="9">
        <v>40719</v>
      </c>
    </row>
    <row r="3244" spans="6:8">
      <c r="F3244">
        <v>45895</v>
      </c>
      <c r="G3244">
        <v>1619</v>
      </c>
      <c r="H3244" s="9">
        <v>40719</v>
      </c>
    </row>
    <row r="3245" spans="6:8">
      <c r="F3245">
        <v>45902</v>
      </c>
      <c r="G3245">
        <v>1908</v>
      </c>
      <c r="H3245" s="9">
        <v>40719</v>
      </c>
    </row>
    <row r="3246" spans="6:8">
      <c r="F3246">
        <v>45905</v>
      </c>
      <c r="G3246">
        <v>6608</v>
      </c>
      <c r="H3246" s="9">
        <v>40719</v>
      </c>
    </row>
    <row r="3247" spans="6:8">
      <c r="F3247">
        <v>45908</v>
      </c>
      <c r="G3247">
        <v>6923</v>
      </c>
      <c r="H3247" s="9">
        <v>40719</v>
      </c>
    </row>
    <row r="3248" spans="6:8">
      <c r="F3248">
        <v>45934</v>
      </c>
      <c r="G3248">
        <v>6613</v>
      </c>
      <c r="H3248" s="9">
        <v>40719</v>
      </c>
    </row>
    <row r="3249" spans="6:8">
      <c r="F3249">
        <v>45966</v>
      </c>
      <c r="G3249">
        <v>509</v>
      </c>
      <c r="H3249" s="9">
        <v>40719</v>
      </c>
    </row>
    <row r="3250" spans="6:8">
      <c r="F3250">
        <v>45967</v>
      </c>
      <c r="G3250">
        <v>7770</v>
      </c>
      <c r="H3250" s="9">
        <v>40723</v>
      </c>
    </row>
    <row r="3251" spans="6:8">
      <c r="F3251">
        <v>45973</v>
      </c>
      <c r="G3251">
        <v>6892</v>
      </c>
      <c r="H3251" s="9">
        <v>40723</v>
      </c>
    </row>
    <row r="3252" spans="6:8">
      <c r="F3252">
        <v>45974</v>
      </c>
      <c r="G3252">
        <v>6195</v>
      </c>
      <c r="H3252" s="9">
        <v>40723</v>
      </c>
    </row>
    <row r="3253" spans="6:8">
      <c r="F3253">
        <v>45977</v>
      </c>
      <c r="G3253">
        <v>4739</v>
      </c>
      <c r="H3253" s="9">
        <v>40723</v>
      </c>
    </row>
    <row r="3254" spans="6:8">
      <c r="F3254">
        <v>45981</v>
      </c>
      <c r="G3254">
        <v>5112</v>
      </c>
      <c r="H3254" s="9">
        <v>40723</v>
      </c>
    </row>
    <row r="3255" spans="6:8">
      <c r="F3255">
        <v>45982</v>
      </c>
      <c r="G3255">
        <v>7667</v>
      </c>
      <c r="H3255" s="9">
        <v>40723</v>
      </c>
    </row>
    <row r="3256" spans="6:8">
      <c r="F3256">
        <v>45983</v>
      </c>
      <c r="G3256">
        <v>4714</v>
      </c>
      <c r="H3256" s="9">
        <v>40723</v>
      </c>
    </row>
    <row r="3257" spans="6:8">
      <c r="F3257">
        <v>45993</v>
      </c>
      <c r="G3257">
        <v>7232</v>
      </c>
      <c r="H3257" s="9">
        <v>40723</v>
      </c>
    </row>
    <row r="3258" spans="6:8">
      <c r="F3258">
        <v>46021</v>
      </c>
      <c r="G3258">
        <v>2087</v>
      </c>
      <c r="H3258" s="9">
        <v>40723</v>
      </c>
    </row>
    <row r="3259" spans="6:8">
      <c r="F3259">
        <v>46023</v>
      </c>
      <c r="G3259">
        <v>419</v>
      </c>
      <c r="H3259" s="9">
        <v>40723</v>
      </c>
    </row>
    <row r="3260" spans="6:8">
      <c r="F3260">
        <v>46025</v>
      </c>
      <c r="G3260">
        <v>1920</v>
      </c>
      <c r="H3260" s="9">
        <v>40723</v>
      </c>
    </row>
    <row r="3261" spans="6:8">
      <c r="F3261">
        <v>46038</v>
      </c>
      <c r="G3261">
        <v>2128</v>
      </c>
      <c r="H3261" s="9">
        <v>40723</v>
      </c>
    </row>
    <row r="3262" spans="6:8">
      <c r="F3262">
        <v>46040</v>
      </c>
      <c r="G3262">
        <v>3407</v>
      </c>
      <c r="H3262" s="9">
        <v>40723</v>
      </c>
    </row>
    <row r="3263" spans="6:8">
      <c r="F3263">
        <v>46041</v>
      </c>
      <c r="G3263">
        <v>6143</v>
      </c>
      <c r="H3263" s="9">
        <v>40723</v>
      </c>
    </row>
    <row r="3264" spans="6:8">
      <c r="F3264">
        <v>46102</v>
      </c>
      <c r="G3264">
        <v>337</v>
      </c>
      <c r="H3264" s="9">
        <v>40724</v>
      </c>
    </row>
    <row r="3265" spans="6:8">
      <c r="F3265">
        <v>46106</v>
      </c>
      <c r="G3265">
        <v>2454</v>
      </c>
      <c r="H3265" s="9">
        <v>40724</v>
      </c>
    </row>
    <row r="3266" spans="6:8">
      <c r="F3266">
        <v>46125</v>
      </c>
      <c r="G3266">
        <v>2170</v>
      </c>
      <c r="H3266" s="9">
        <v>40724</v>
      </c>
    </row>
    <row r="3267" spans="6:8">
      <c r="F3267">
        <v>46127</v>
      </c>
      <c r="G3267">
        <v>201</v>
      </c>
      <c r="H3267" s="9">
        <v>40724</v>
      </c>
    </row>
    <row r="3268" spans="6:8">
      <c r="F3268">
        <v>46148</v>
      </c>
      <c r="G3268">
        <v>6706</v>
      </c>
      <c r="H3268" s="9">
        <v>40725</v>
      </c>
    </row>
    <row r="3269" spans="6:8">
      <c r="F3269">
        <v>46149</v>
      </c>
      <c r="G3269">
        <v>6881</v>
      </c>
      <c r="H3269" s="9">
        <v>40725</v>
      </c>
    </row>
    <row r="3270" spans="6:8">
      <c r="F3270">
        <v>46158</v>
      </c>
      <c r="G3270">
        <v>2987</v>
      </c>
      <c r="H3270" s="9">
        <v>40725</v>
      </c>
    </row>
    <row r="3271" spans="6:8">
      <c r="F3271">
        <v>46167</v>
      </c>
      <c r="G3271">
        <v>6566</v>
      </c>
      <c r="H3271" s="9">
        <v>40725</v>
      </c>
    </row>
    <row r="3272" spans="6:8">
      <c r="F3272">
        <v>46172</v>
      </c>
      <c r="G3272">
        <v>7575</v>
      </c>
      <c r="H3272" s="9">
        <v>40725</v>
      </c>
    </row>
    <row r="3273" spans="6:8">
      <c r="F3273">
        <v>46173</v>
      </c>
      <c r="G3273">
        <v>2736</v>
      </c>
      <c r="H3273" s="9">
        <v>40725</v>
      </c>
    </row>
    <row r="3274" spans="6:8">
      <c r="F3274">
        <v>46174</v>
      </c>
      <c r="G3274">
        <v>4472</v>
      </c>
      <c r="H3274" s="9">
        <v>40725</v>
      </c>
    </row>
    <row r="3275" spans="6:8">
      <c r="F3275">
        <v>46176</v>
      </c>
      <c r="G3275">
        <v>6714</v>
      </c>
      <c r="H3275" s="9">
        <v>40725</v>
      </c>
    </row>
    <row r="3276" spans="6:8">
      <c r="F3276">
        <v>46201</v>
      </c>
      <c r="G3276">
        <v>5288</v>
      </c>
      <c r="H3276" s="9">
        <v>40732</v>
      </c>
    </row>
    <row r="3277" spans="6:8">
      <c r="F3277">
        <v>46204</v>
      </c>
      <c r="G3277">
        <v>5402</v>
      </c>
      <c r="H3277" s="9">
        <v>40732</v>
      </c>
    </row>
    <row r="3278" spans="6:8">
      <c r="F3278">
        <v>46215</v>
      </c>
      <c r="G3278">
        <v>4615</v>
      </c>
      <c r="H3278" s="9">
        <v>40732</v>
      </c>
    </row>
    <row r="3279" spans="6:8">
      <c r="F3279">
        <v>46242</v>
      </c>
      <c r="G3279">
        <v>1051</v>
      </c>
      <c r="H3279" s="9">
        <v>40728</v>
      </c>
    </row>
    <row r="3280" spans="6:8">
      <c r="F3280">
        <v>46280</v>
      </c>
      <c r="G3280">
        <v>7120</v>
      </c>
      <c r="H3280" s="9">
        <v>40733</v>
      </c>
    </row>
    <row r="3281" spans="6:8">
      <c r="F3281">
        <v>46281</v>
      </c>
      <c r="G3281">
        <v>17</v>
      </c>
      <c r="H3281" s="9">
        <v>40733</v>
      </c>
    </row>
    <row r="3282" spans="6:8">
      <c r="F3282">
        <v>46296</v>
      </c>
      <c r="G3282">
        <v>533</v>
      </c>
      <c r="H3282" s="9">
        <v>40733</v>
      </c>
    </row>
    <row r="3283" spans="6:8">
      <c r="F3283">
        <v>46301</v>
      </c>
      <c r="G3283">
        <v>1909</v>
      </c>
      <c r="H3283" s="9">
        <v>40733</v>
      </c>
    </row>
    <row r="3284" spans="6:8">
      <c r="F3284">
        <v>46330</v>
      </c>
      <c r="G3284">
        <v>4294</v>
      </c>
      <c r="H3284" s="9">
        <v>40734</v>
      </c>
    </row>
    <row r="3285" spans="6:8">
      <c r="F3285">
        <v>46335</v>
      </c>
      <c r="G3285">
        <v>7076</v>
      </c>
      <c r="H3285" s="9">
        <v>40734</v>
      </c>
    </row>
    <row r="3286" spans="6:8">
      <c r="F3286">
        <v>46352</v>
      </c>
      <c r="G3286">
        <v>1383</v>
      </c>
      <c r="H3286" s="9">
        <v>40734</v>
      </c>
    </row>
    <row r="3287" spans="6:8">
      <c r="F3287">
        <v>46357</v>
      </c>
      <c r="G3287">
        <v>1613</v>
      </c>
      <c r="H3287" s="9">
        <v>40734</v>
      </c>
    </row>
    <row r="3288" spans="6:8">
      <c r="F3288">
        <v>46363</v>
      </c>
      <c r="G3288">
        <v>2227</v>
      </c>
      <c r="H3288" s="9">
        <v>40734</v>
      </c>
    </row>
    <row r="3289" spans="6:8">
      <c r="F3289">
        <v>46382</v>
      </c>
      <c r="G3289">
        <v>1798</v>
      </c>
      <c r="H3289" s="9">
        <v>40734</v>
      </c>
    </row>
    <row r="3290" spans="6:8">
      <c r="F3290">
        <v>46389</v>
      </c>
      <c r="G3290">
        <v>4254</v>
      </c>
      <c r="H3290" s="9">
        <v>40734</v>
      </c>
    </row>
    <row r="3291" spans="6:8">
      <c r="F3291">
        <v>46397</v>
      </c>
      <c r="G3291">
        <v>5490</v>
      </c>
      <c r="H3291" s="9">
        <v>40735</v>
      </c>
    </row>
    <row r="3292" spans="6:8">
      <c r="F3292">
        <v>46399</v>
      </c>
      <c r="G3292">
        <v>980</v>
      </c>
      <c r="H3292" s="9">
        <v>40735</v>
      </c>
    </row>
    <row r="3293" spans="6:8">
      <c r="F3293">
        <v>46400</v>
      </c>
      <c r="G3293">
        <v>3020</v>
      </c>
      <c r="H3293" s="9">
        <v>40735</v>
      </c>
    </row>
    <row r="3294" spans="6:8">
      <c r="F3294">
        <v>46421</v>
      </c>
      <c r="G3294">
        <v>623</v>
      </c>
      <c r="H3294" s="9">
        <v>40735</v>
      </c>
    </row>
    <row r="3295" spans="6:8">
      <c r="F3295">
        <v>46437</v>
      </c>
      <c r="G3295">
        <v>2134</v>
      </c>
      <c r="H3295" s="9">
        <v>40735</v>
      </c>
    </row>
    <row r="3296" spans="6:8">
      <c r="F3296">
        <v>46451</v>
      </c>
      <c r="G3296">
        <v>1991</v>
      </c>
      <c r="H3296" s="9">
        <v>40737</v>
      </c>
    </row>
    <row r="3297" spans="6:8">
      <c r="F3297">
        <v>46465</v>
      </c>
      <c r="G3297">
        <v>4928</v>
      </c>
      <c r="H3297" s="9">
        <v>40737</v>
      </c>
    </row>
    <row r="3298" spans="6:8">
      <c r="F3298">
        <v>46476</v>
      </c>
      <c r="G3298">
        <v>6908</v>
      </c>
      <c r="H3298" s="9">
        <v>40740</v>
      </c>
    </row>
    <row r="3299" spans="6:8">
      <c r="F3299">
        <v>46482</v>
      </c>
      <c r="G3299">
        <v>149</v>
      </c>
      <c r="H3299" s="9">
        <v>40740</v>
      </c>
    </row>
    <row r="3300" spans="6:8">
      <c r="F3300">
        <v>46494</v>
      </c>
      <c r="G3300">
        <v>2525</v>
      </c>
      <c r="H3300" s="9">
        <v>40740</v>
      </c>
    </row>
    <row r="3301" spans="6:8">
      <c r="F3301">
        <v>46496</v>
      </c>
      <c r="G3301">
        <v>834</v>
      </c>
      <c r="H3301" s="9">
        <v>40740</v>
      </c>
    </row>
    <row r="3302" spans="6:8">
      <c r="F3302">
        <v>46499</v>
      </c>
      <c r="G3302">
        <v>7299</v>
      </c>
      <c r="H3302" s="9">
        <v>40740</v>
      </c>
    </row>
    <row r="3303" spans="6:8">
      <c r="F3303">
        <v>46540</v>
      </c>
      <c r="G3303">
        <v>2440</v>
      </c>
      <c r="H3303" s="9">
        <v>40740</v>
      </c>
    </row>
    <row r="3304" spans="6:8">
      <c r="F3304">
        <v>46551</v>
      </c>
      <c r="G3304">
        <v>4844</v>
      </c>
      <c r="H3304" s="9">
        <v>40740</v>
      </c>
    </row>
    <row r="3305" spans="6:8">
      <c r="F3305">
        <v>46555</v>
      </c>
      <c r="G3305">
        <v>5401</v>
      </c>
      <c r="H3305" s="9">
        <v>40740</v>
      </c>
    </row>
    <row r="3306" spans="6:8">
      <c r="F3306">
        <v>46563</v>
      </c>
      <c r="G3306">
        <v>2628</v>
      </c>
      <c r="H3306" s="9">
        <v>40740</v>
      </c>
    </row>
    <row r="3307" spans="6:8">
      <c r="F3307">
        <v>46574</v>
      </c>
      <c r="G3307">
        <v>4887</v>
      </c>
      <c r="H3307" s="9">
        <v>40742</v>
      </c>
    </row>
    <row r="3308" spans="6:8">
      <c r="F3308">
        <v>46581</v>
      </c>
      <c r="G3308">
        <v>6424</v>
      </c>
      <c r="H3308" s="9">
        <v>40742</v>
      </c>
    </row>
    <row r="3309" spans="6:8">
      <c r="F3309">
        <v>46585</v>
      </c>
      <c r="G3309">
        <v>990</v>
      </c>
      <c r="H3309" s="9">
        <v>40742</v>
      </c>
    </row>
    <row r="3310" spans="6:8">
      <c r="F3310">
        <v>46586</v>
      </c>
      <c r="G3310">
        <v>160</v>
      </c>
      <c r="H3310" s="9">
        <v>40742</v>
      </c>
    </row>
    <row r="3311" spans="6:8">
      <c r="F3311">
        <v>46594</v>
      </c>
      <c r="G3311">
        <v>7059</v>
      </c>
      <c r="H3311" s="9">
        <v>40742</v>
      </c>
    </row>
    <row r="3312" spans="6:8">
      <c r="F3312">
        <v>46595</v>
      </c>
      <c r="G3312">
        <v>7504</v>
      </c>
      <c r="H3312" s="9">
        <v>40742</v>
      </c>
    </row>
    <row r="3313" spans="6:8">
      <c r="F3313">
        <v>46596</v>
      </c>
      <c r="G3313">
        <v>3479</v>
      </c>
      <c r="H3313" s="9">
        <v>40742</v>
      </c>
    </row>
    <row r="3314" spans="6:8">
      <c r="F3314">
        <v>46608</v>
      </c>
      <c r="G3314">
        <v>7025</v>
      </c>
      <c r="H3314" s="9">
        <v>40743</v>
      </c>
    </row>
    <row r="3315" spans="6:8">
      <c r="F3315">
        <v>46621</v>
      </c>
      <c r="G3315">
        <v>3053</v>
      </c>
      <c r="H3315" s="9">
        <v>40743</v>
      </c>
    </row>
    <row r="3316" spans="6:8">
      <c r="F3316">
        <v>46626</v>
      </c>
      <c r="G3316">
        <v>112</v>
      </c>
      <c r="H3316" s="9">
        <v>40743</v>
      </c>
    </row>
    <row r="3317" spans="6:8">
      <c r="F3317">
        <v>46627</v>
      </c>
      <c r="G3317">
        <v>112</v>
      </c>
      <c r="H3317" s="9">
        <v>40743</v>
      </c>
    </row>
    <row r="3318" spans="6:8">
      <c r="F3318">
        <v>46632</v>
      </c>
      <c r="G3318">
        <v>1707</v>
      </c>
      <c r="H3318" s="9">
        <v>40743</v>
      </c>
    </row>
    <row r="3319" spans="6:8">
      <c r="F3319">
        <v>46643</v>
      </c>
      <c r="G3319">
        <v>2903</v>
      </c>
      <c r="H3319" s="9">
        <v>40743</v>
      </c>
    </row>
    <row r="3320" spans="6:8">
      <c r="F3320">
        <v>46651</v>
      </c>
      <c r="G3320">
        <v>7281</v>
      </c>
      <c r="H3320" s="9">
        <v>40743</v>
      </c>
    </row>
    <row r="3321" spans="6:8">
      <c r="F3321">
        <v>46703</v>
      </c>
      <c r="G3321">
        <v>43</v>
      </c>
      <c r="H3321" s="9">
        <v>40747</v>
      </c>
    </row>
    <row r="3322" spans="6:8">
      <c r="F3322">
        <v>46705</v>
      </c>
      <c r="G3322">
        <v>511</v>
      </c>
      <c r="H3322" s="9">
        <v>40747</v>
      </c>
    </row>
    <row r="3323" spans="6:8">
      <c r="F3323">
        <v>46709</v>
      </c>
      <c r="G3323">
        <v>2149</v>
      </c>
      <c r="H3323" s="9">
        <v>40747</v>
      </c>
    </row>
    <row r="3324" spans="6:8">
      <c r="F3324">
        <v>46719</v>
      </c>
      <c r="G3324">
        <v>6490</v>
      </c>
      <c r="H3324" s="9">
        <v>40747</v>
      </c>
    </row>
    <row r="3325" spans="6:8">
      <c r="F3325">
        <v>46727</v>
      </c>
      <c r="G3325">
        <v>6996</v>
      </c>
      <c r="H3325" s="9">
        <v>40747</v>
      </c>
    </row>
    <row r="3326" spans="6:8">
      <c r="F3326">
        <v>46730</v>
      </c>
      <c r="G3326">
        <v>7778</v>
      </c>
      <c r="H3326" s="9">
        <v>40740</v>
      </c>
    </row>
    <row r="3327" spans="6:8">
      <c r="F3327">
        <v>46732</v>
      </c>
      <c r="G3327">
        <v>6564</v>
      </c>
      <c r="H3327" s="9">
        <v>40749</v>
      </c>
    </row>
    <row r="3328" spans="6:8">
      <c r="F3328">
        <v>46734</v>
      </c>
      <c r="G3328">
        <v>4388</v>
      </c>
      <c r="H3328" s="9">
        <v>40750</v>
      </c>
    </row>
    <row r="3329" spans="6:8">
      <c r="F3329">
        <v>46736</v>
      </c>
      <c r="G3329">
        <v>5632</v>
      </c>
      <c r="H3329" s="9">
        <v>40750</v>
      </c>
    </row>
    <row r="3330" spans="6:8">
      <c r="F3330">
        <v>46739</v>
      </c>
      <c r="G3330">
        <v>3939</v>
      </c>
      <c r="H3330" s="9">
        <v>40750</v>
      </c>
    </row>
    <row r="3331" spans="6:8">
      <c r="F3331">
        <v>46740</v>
      </c>
      <c r="G3331">
        <v>5296</v>
      </c>
      <c r="H3331" s="9">
        <v>40750</v>
      </c>
    </row>
    <row r="3332" spans="6:8">
      <c r="F3332">
        <v>46760</v>
      </c>
      <c r="G3332">
        <v>7728</v>
      </c>
      <c r="H3332" s="9">
        <v>40751</v>
      </c>
    </row>
    <row r="3333" spans="6:8">
      <c r="F3333">
        <v>46763</v>
      </c>
      <c r="G3333">
        <v>169</v>
      </c>
      <c r="H3333" s="9">
        <v>40751</v>
      </c>
    </row>
    <row r="3334" spans="6:8">
      <c r="F3334">
        <v>46764</v>
      </c>
      <c r="G3334">
        <v>4135</v>
      </c>
      <c r="H3334" s="9">
        <v>40751</v>
      </c>
    </row>
    <row r="3335" spans="6:8">
      <c r="F3335">
        <v>46767</v>
      </c>
      <c r="G3335">
        <v>2852</v>
      </c>
      <c r="H3335" s="9">
        <v>40751</v>
      </c>
    </row>
    <row r="3336" spans="6:8">
      <c r="F3336">
        <v>46779</v>
      </c>
      <c r="G3336">
        <v>1934</v>
      </c>
      <c r="H3336" s="9">
        <v>40751</v>
      </c>
    </row>
    <row r="3337" spans="6:8">
      <c r="F3337">
        <v>46784</v>
      </c>
      <c r="G3337">
        <v>4595</v>
      </c>
      <c r="H3337" s="9">
        <v>40751</v>
      </c>
    </row>
    <row r="3338" spans="6:8">
      <c r="F3338">
        <v>46785</v>
      </c>
      <c r="G3338">
        <v>545</v>
      </c>
      <c r="H3338" s="9">
        <v>40751</v>
      </c>
    </row>
    <row r="3339" spans="6:8">
      <c r="F3339">
        <v>46791</v>
      </c>
      <c r="G3339">
        <v>2920</v>
      </c>
      <c r="H3339" s="9">
        <v>40751</v>
      </c>
    </row>
    <row r="3340" spans="6:8">
      <c r="F3340">
        <v>46798</v>
      </c>
      <c r="G3340">
        <v>462</v>
      </c>
      <c r="H3340" s="9">
        <v>40751</v>
      </c>
    </row>
    <row r="3341" spans="6:8">
      <c r="F3341">
        <v>46822</v>
      </c>
      <c r="G3341">
        <v>7783</v>
      </c>
      <c r="H3341" s="9">
        <v>40750</v>
      </c>
    </row>
    <row r="3342" spans="6:8">
      <c r="F3342">
        <v>46823</v>
      </c>
      <c r="G3342">
        <v>7782</v>
      </c>
      <c r="H3342" s="9">
        <v>40750</v>
      </c>
    </row>
    <row r="3343" spans="6:8">
      <c r="F3343">
        <v>46824</v>
      </c>
      <c r="G3343">
        <v>7780</v>
      </c>
      <c r="H3343" s="9">
        <v>40750</v>
      </c>
    </row>
    <row r="3344" spans="6:8">
      <c r="F3344">
        <v>46825</v>
      </c>
      <c r="G3344">
        <v>7784</v>
      </c>
      <c r="H3344" s="9">
        <v>40750</v>
      </c>
    </row>
    <row r="3345" spans="6:8">
      <c r="F3345">
        <v>46826</v>
      </c>
      <c r="G3345">
        <v>7781</v>
      </c>
      <c r="H3345" s="9">
        <v>40750</v>
      </c>
    </row>
    <row r="3346" spans="6:8">
      <c r="F3346">
        <v>46827</v>
      </c>
      <c r="G3346">
        <v>7779</v>
      </c>
      <c r="H3346" s="9">
        <v>40750</v>
      </c>
    </row>
    <row r="3347" spans="6:8">
      <c r="F3347">
        <v>46838</v>
      </c>
      <c r="G3347">
        <v>1230</v>
      </c>
      <c r="H3347" s="9">
        <v>40756</v>
      </c>
    </row>
    <row r="3348" spans="6:8">
      <c r="F3348">
        <v>46883</v>
      </c>
      <c r="G3348">
        <v>916</v>
      </c>
      <c r="H3348" s="9">
        <v>40756</v>
      </c>
    </row>
    <row r="3349" spans="6:8">
      <c r="F3349">
        <v>46895</v>
      </c>
      <c r="G3349">
        <v>2966</v>
      </c>
      <c r="H3349" s="9">
        <v>40756</v>
      </c>
    </row>
    <row r="3350" spans="6:8">
      <c r="F3350">
        <v>46909</v>
      </c>
      <c r="G3350">
        <v>343</v>
      </c>
      <c r="H3350" s="9">
        <v>40756</v>
      </c>
    </row>
    <row r="3351" spans="6:8">
      <c r="F3351">
        <v>46932</v>
      </c>
      <c r="G3351">
        <v>5924</v>
      </c>
      <c r="H3351" s="9">
        <v>40758</v>
      </c>
    </row>
    <row r="3352" spans="6:8">
      <c r="F3352">
        <v>46943</v>
      </c>
      <c r="G3352">
        <v>4625</v>
      </c>
      <c r="H3352" s="9">
        <v>40758</v>
      </c>
    </row>
    <row r="3353" spans="6:8">
      <c r="F3353">
        <v>46944</v>
      </c>
      <c r="G3353">
        <v>3862</v>
      </c>
      <c r="H3353" s="9">
        <v>40758</v>
      </c>
    </row>
    <row r="3354" spans="6:8">
      <c r="F3354">
        <v>46949</v>
      </c>
      <c r="G3354">
        <v>4687</v>
      </c>
      <c r="H3354" s="9">
        <v>40758</v>
      </c>
    </row>
    <row r="3355" spans="6:8">
      <c r="F3355">
        <v>46958</v>
      </c>
      <c r="G3355">
        <v>559</v>
      </c>
      <c r="H3355" s="9">
        <v>40758</v>
      </c>
    </row>
    <row r="3356" spans="6:8">
      <c r="F3356">
        <v>46964</v>
      </c>
      <c r="G3356">
        <v>7433</v>
      </c>
      <c r="H3356" s="9">
        <v>40758</v>
      </c>
    </row>
    <row r="3357" spans="6:8">
      <c r="F3357">
        <v>46972</v>
      </c>
      <c r="G3357">
        <v>7100</v>
      </c>
      <c r="H3357" s="9">
        <v>40758</v>
      </c>
    </row>
    <row r="3358" spans="6:8">
      <c r="F3358">
        <v>46980</v>
      </c>
      <c r="G3358">
        <v>6614</v>
      </c>
      <c r="H3358" s="9">
        <v>40758</v>
      </c>
    </row>
    <row r="3359" spans="6:8">
      <c r="F3359">
        <v>46985</v>
      </c>
      <c r="G3359">
        <v>6109</v>
      </c>
      <c r="H3359" s="9">
        <v>40758</v>
      </c>
    </row>
    <row r="3360" spans="6:8">
      <c r="F3360">
        <v>47010</v>
      </c>
      <c r="G3360">
        <v>5612</v>
      </c>
      <c r="H3360" s="9">
        <v>40758</v>
      </c>
    </row>
    <row r="3361" spans="6:8">
      <c r="F3361">
        <v>47037</v>
      </c>
      <c r="G3361">
        <v>7024</v>
      </c>
      <c r="H3361" s="9">
        <v>40763</v>
      </c>
    </row>
    <row r="3362" spans="6:8">
      <c r="F3362">
        <v>47047</v>
      </c>
      <c r="G3362">
        <v>127</v>
      </c>
      <c r="H3362" s="9">
        <v>40763</v>
      </c>
    </row>
    <row r="3363" spans="6:8">
      <c r="F3363">
        <v>47064</v>
      </c>
      <c r="G3363">
        <v>5827</v>
      </c>
      <c r="H3363" s="9">
        <v>40763</v>
      </c>
    </row>
    <row r="3364" spans="6:8">
      <c r="F3364">
        <v>47066</v>
      </c>
      <c r="G3364">
        <v>3199</v>
      </c>
      <c r="H3364" s="9">
        <v>40763</v>
      </c>
    </row>
    <row r="3365" spans="6:8">
      <c r="F3365">
        <v>47071</v>
      </c>
      <c r="G3365">
        <v>7191</v>
      </c>
      <c r="H3365" s="9">
        <v>40763</v>
      </c>
    </row>
    <row r="3366" spans="6:8">
      <c r="F3366">
        <v>47083</v>
      </c>
      <c r="G3366">
        <v>7792</v>
      </c>
      <c r="H3366" s="9">
        <v>40763</v>
      </c>
    </row>
    <row r="3367" spans="6:8">
      <c r="F3367">
        <v>47084</v>
      </c>
      <c r="G3367">
        <v>7793</v>
      </c>
      <c r="H3367" s="9">
        <v>40763</v>
      </c>
    </row>
    <row r="3368" spans="6:8">
      <c r="F3368">
        <v>47085</v>
      </c>
      <c r="G3368">
        <v>7794</v>
      </c>
      <c r="H3368" s="9">
        <v>40763</v>
      </c>
    </row>
    <row r="3369" spans="6:8">
      <c r="F3369">
        <v>47086</v>
      </c>
      <c r="G3369">
        <v>7795</v>
      </c>
      <c r="H3369" s="9">
        <v>40763</v>
      </c>
    </row>
    <row r="3370" spans="6:8">
      <c r="F3370">
        <v>47101</v>
      </c>
      <c r="G3370">
        <v>2667</v>
      </c>
      <c r="H3370" s="9">
        <v>40763</v>
      </c>
    </row>
    <row r="3371" spans="6:8">
      <c r="F3371">
        <v>47103</v>
      </c>
      <c r="G3371">
        <v>7205</v>
      </c>
      <c r="H3371" s="9">
        <v>40763</v>
      </c>
    </row>
    <row r="3372" spans="6:8">
      <c r="F3372">
        <v>47106</v>
      </c>
      <c r="G3372">
        <v>3858</v>
      </c>
      <c r="H3372" s="9">
        <v>40763</v>
      </c>
    </row>
    <row r="3373" spans="6:8">
      <c r="F3373">
        <v>47110</v>
      </c>
      <c r="G3373">
        <v>7373</v>
      </c>
      <c r="H3373" s="9">
        <v>40763</v>
      </c>
    </row>
    <row r="3374" spans="6:8">
      <c r="F3374">
        <v>47113</v>
      </c>
      <c r="G3374">
        <v>2348</v>
      </c>
      <c r="H3374" s="9">
        <v>40763</v>
      </c>
    </row>
    <row r="3375" spans="6:8">
      <c r="F3375">
        <v>47127</v>
      </c>
      <c r="G3375">
        <v>2803</v>
      </c>
      <c r="H3375" s="9">
        <v>40764</v>
      </c>
    </row>
    <row r="3376" spans="6:8">
      <c r="F3376">
        <v>47138</v>
      </c>
      <c r="G3376">
        <v>1846</v>
      </c>
      <c r="H3376" s="9">
        <v>40764</v>
      </c>
    </row>
    <row r="3377" spans="6:8">
      <c r="F3377">
        <v>47140</v>
      </c>
      <c r="G3377">
        <v>7811</v>
      </c>
      <c r="H3377" s="9">
        <v>40427</v>
      </c>
    </row>
    <row r="3378" spans="6:8">
      <c r="F3378">
        <v>47150</v>
      </c>
      <c r="G3378">
        <v>161</v>
      </c>
      <c r="H3378" s="9">
        <v>40764</v>
      </c>
    </row>
    <row r="3379" spans="6:8">
      <c r="F3379">
        <v>47151</v>
      </c>
      <c r="G3379">
        <v>5505</v>
      </c>
      <c r="H3379" s="9">
        <v>40764</v>
      </c>
    </row>
    <row r="3380" spans="6:8">
      <c r="F3380">
        <v>47154</v>
      </c>
      <c r="G3380">
        <v>6114</v>
      </c>
      <c r="H3380" s="9">
        <v>40764</v>
      </c>
    </row>
    <row r="3381" spans="6:8">
      <c r="F3381">
        <v>47155</v>
      </c>
      <c r="G3381">
        <v>6817</v>
      </c>
      <c r="H3381" s="9">
        <v>40764</v>
      </c>
    </row>
    <row r="3382" spans="6:8">
      <c r="F3382">
        <v>47159</v>
      </c>
      <c r="G3382">
        <v>7814</v>
      </c>
      <c r="H3382" s="9">
        <v>40716</v>
      </c>
    </row>
    <row r="3383" spans="6:8">
      <c r="F3383">
        <v>47162</v>
      </c>
      <c r="G3383">
        <v>7816</v>
      </c>
      <c r="H3383" s="9">
        <v>40716</v>
      </c>
    </row>
    <row r="3384" spans="6:8">
      <c r="F3384">
        <v>47182</v>
      </c>
      <c r="G3384">
        <v>7831</v>
      </c>
      <c r="H3384" s="9">
        <v>40746</v>
      </c>
    </row>
    <row r="3385" spans="6:8">
      <c r="F3385">
        <v>47196</v>
      </c>
      <c r="G3385">
        <v>7639</v>
      </c>
      <c r="H3385" s="9">
        <v>40765</v>
      </c>
    </row>
    <row r="3386" spans="6:8">
      <c r="F3386">
        <v>47198</v>
      </c>
      <c r="G3386">
        <v>6891</v>
      </c>
      <c r="H3386" s="9">
        <v>40765</v>
      </c>
    </row>
    <row r="3387" spans="6:8">
      <c r="F3387">
        <v>47202</v>
      </c>
      <c r="G3387">
        <v>6859</v>
      </c>
      <c r="H3387" s="9">
        <v>40765</v>
      </c>
    </row>
    <row r="3388" spans="6:8">
      <c r="F3388">
        <v>47204</v>
      </c>
      <c r="G3388">
        <v>7406</v>
      </c>
      <c r="H3388" s="9">
        <v>40765</v>
      </c>
    </row>
    <row r="3389" spans="6:8">
      <c r="F3389">
        <v>47207</v>
      </c>
      <c r="G3389">
        <v>1618</v>
      </c>
      <c r="H3389" s="9">
        <v>40765</v>
      </c>
    </row>
    <row r="3390" spans="6:8">
      <c r="F3390">
        <v>47220</v>
      </c>
      <c r="G3390">
        <v>7846</v>
      </c>
      <c r="H3390" s="9">
        <v>40716</v>
      </c>
    </row>
    <row r="3391" spans="6:8">
      <c r="F3391">
        <v>47229</v>
      </c>
      <c r="G3391">
        <v>7850</v>
      </c>
      <c r="H3391" s="9">
        <v>40716</v>
      </c>
    </row>
    <row r="3392" spans="6:8">
      <c r="F3392">
        <v>47258</v>
      </c>
      <c r="G3392">
        <v>7861</v>
      </c>
      <c r="H3392" s="9">
        <v>40716</v>
      </c>
    </row>
    <row r="3393" spans="6:8">
      <c r="F3393">
        <v>47261</v>
      </c>
      <c r="G3393">
        <v>7864</v>
      </c>
      <c r="H3393" s="9">
        <v>40716</v>
      </c>
    </row>
    <row r="3394" spans="6:8">
      <c r="F3394">
        <v>47268</v>
      </c>
      <c r="G3394">
        <v>7875</v>
      </c>
      <c r="H3394" s="9">
        <v>40735</v>
      </c>
    </row>
    <row r="3395" spans="6:8">
      <c r="F3395">
        <v>47285</v>
      </c>
      <c r="G3395">
        <v>7888</v>
      </c>
      <c r="H3395" s="9">
        <v>40764</v>
      </c>
    </row>
    <row r="3396" spans="6:8">
      <c r="F3396">
        <v>47290</v>
      </c>
      <c r="G3396">
        <v>7891</v>
      </c>
      <c r="H3396" s="9">
        <v>40764</v>
      </c>
    </row>
    <row r="3397" spans="6:8">
      <c r="F3397">
        <v>47291</v>
      </c>
      <c r="G3397">
        <v>7892</v>
      </c>
      <c r="H3397" s="9">
        <v>40764</v>
      </c>
    </row>
    <row r="3398" spans="6:8">
      <c r="F3398">
        <v>47294</v>
      </c>
      <c r="G3398">
        <v>7895</v>
      </c>
      <c r="H3398" s="9">
        <v>40764</v>
      </c>
    </row>
    <row r="3399" spans="6:8">
      <c r="F3399">
        <v>47309</v>
      </c>
      <c r="G3399">
        <v>482</v>
      </c>
      <c r="H3399" s="9">
        <v>40770</v>
      </c>
    </row>
    <row r="3400" spans="6:8">
      <c r="F3400">
        <v>47312</v>
      </c>
      <c r="G3400">
        <v>6192</v>
      </c>
      <c r="H3400" s="9">
        <v>40770</v>
      </c>
    </row>
    <row r="3401" spans="6:8">
      <c r="F3401">
        <v>47321</v>
      </c>
      <c r="G3401">
        <v>7287</v>
      </c>
      <c r="H3401" s="9">
        <v>40770</v>
      </c>
    </row>
    <row r="3402" spans="6:8">
      <c r="F3402">
        <v>47327</v>
      </c>
      <c r="G3402">
        <v>4035</v>
      </c>
      <c r="H3402" s="9">
        <v>40770</v>
      </c>
    </row>
    <row r="3403" spans="6:8">
      <c r="F3403">
        <v>47338</v>
      </c>
      <c r="G3403">
        <v>5213</v>
      </c>
      <c r="H3403" s="9">
        <v>40770</v>
      </c>
    </row>
    <row r="3404" spans="6:8">
      <c r="F3404">
        <v>47427</v>
      </c>
      <c r="G3404">
        <v>1907</v>
      </c>
      <c r="H3404" s="9">
        <v>40771</v>
      </c>
    </row>
    <row r="3405" spans="6:8">
      <c r="F3405">
        <v>47453</v>
      </c>
      <c r="G3405">
        <v>3404</v>
      </c>
      <c r="H3405" s="9">
        <v>40771</v>
      </c>
    </row>
    <row r="3406" spans="6:8">
      <c r="F3406">
        <v>47464</v>
      </c>
      <c r="G3406">
        <v>1298</v>
      </c>
      <c r="H3406" s="9">
        <v>40771</v>
      </c>
    </row>
    <row r="3407" spans="6:8">
      <c r="F3407">
        <v>47504</v>
      </c>
      <c r="G3407">
        <v>7111</v>
      </c>
      <c r="H3407" s="9">
        <v>40771</v>
      </c>
    </row>
    <row r="3408" spans="6:8">
      <c r="F3408">
        <v>47507</v>
      </c>
      <c r="G3408">
        <v>953</v>
      </c>
      <c r="H3408" s="9">
        <v>40771</v>
      </c>
    </row>
    <row r="3409" spans="6:8">
      <c r="F3409">
        <v>47545</v>
      </c>
      <c r="G3409">
        <v>5893</v>
      </c>
      <c r="H3409" s="9">
        <v>40774</v>
      </c>
    </row>
    <row r="3410" spans="6:8">
      <c r="F3410">
        <v>47546</v>
      </c>
      <c r="G3410">
        <v>4653</v>
      </c>
      <c r="H3410" s="9">
        <v>40774</v>
      </c>
    </row>
    <row r="3411" spans="6:8">
      <c r="F3411">
        <v>47555</v>
      </c>
      <c r="G3411">
        <v>6482</v>
      </c>
      <c r="H3411" s="9">
        <v>40774</v>
      </c>
    </row>
    <row r="3412" spans="6:8">
      <c r="F3412">
        <v>47559</v>
      </c>
      <c r="G3412">
        <v>1830</v>
      </c>
      <c r="H3412" s="9">
        <v>40774</v>
      </c>
    </row>
    <row r="3413" spans="6:8">
      <c r="F3413">
        <v>47566</v>
      </c>
      <c r="G3413">
        <v>1713</v>
      </c>
      <c r="H3413" s="9">
        <v>40774</v>
      </c>
    </row>
    <row r="3414" spans="6:8">
      <c r="F3414">
        <v>47568</v>
      </c>
      <c r="G3414">
        <v>6124</v>
      </c>
      <c r="H3414" s="9">
        <v>40774</v>
      </c>
    </row>
    <row r="3415" spans="6:8">
      <c r="F3415">
        <v>47583</v>
      </c>
      <c r="G3415">
        <v>5541</v>
      </c>
      <c r="H3415" s="9">
        <v>40775</v>
      </c>
    </row>
    <row r="3416" spans="6:8">
      <c r="F3416">
        <v>47586</v>
      </c>
      <c r="G3416">
        <v>6895</v>
      </c>
      <c r="H3416" s="9">
        <v>40775</v>
      </c>
    </row>
    <row r="3417" spans="6:8">
      <c r="F3417">
        <v>47597</v>
      </c>
      <c r="G3417">
        <v>7465</v>
      </c>
      <c r="H3417" s="9">
        <v>40775</v>
      </c>
    </row>
    <row r="3418" spans="6:8">
      <c r="F3418">
        <v>47599</v>
      </c>
      <c r="G3418">
        <v>1944</v>
      </c>
      <c r="H3418" s="9">
        <v>40775</v>
      </c>
    </row>
    <row r="3419" spans="6:8">
      <c r="F3419">
        <v>47608</v>
      </c>
      <c r="G3419">
        <v>6717</v>
      </c>
      <c r="H3419" s="9">
        <v>40775</v>
      </c>
    </row>
    <row r="3420" spans="6:8">
      <c r="F3420">
        <v>47618</v>
      </c>
      <c r="G3420">
        <v>6698</v>
      </c>
      <c r="H3420" s="9">
        <v>40775</v>
      </c>
    </row>
    <row r="3421" spans="6:8">
      <c r="F3421">
        <v>47623</v>
      </c>
      <c r="G3421">
        <v>4044</v>
      </c>
      <c r="H3421" s="9">
        <v>40775</v>
      </c>
    </row>
    <row r="3422" spans="6:8">
      <c r="F3422">
        <v>47655</v>
      </c>
      <c r="G3422">
        <v>2308</v>
      </c>
      <c r="H3422" s="9">
        <v>40775</v>
      </c>
    </row>
    <row r="3423" spans="6:8">
      <c r="F3423">
        <v>47674</v>
      </c>
      <c r="G3423">
        <v>6044</v>
      </c>
      <c r="H3423" s="9">
        <v>40778</v>
      </c>
    </row>
    <row r="3424" spans="6:8">
      <c r="F3424">
        <v>47675</v>
      </c>
      <c r="G3424">
        <v>4858</v>
      </c>
      <c r="H3424" s="9">
        <v>40778</v>
      </c>
    </row>
    <row r="3425" spans="6:8">
      <c r="F3425">
        <v>47701</v>
      </c>
      <c r="G3425">
        <v>6644</v>
      </c>
      <c r="H3425" s="9">
        <v>40778</v>
      </c>
    </row>
    <row r="3426" spans="6:8">
      <c r="F3426">
        <v>47702</v>
      </c>
      <c r="G3426">
        <v>3494</v>
      </c>
      <c r="H3426" s="9">
        <v>40779</v>
      </c>
    </row>
    <row r="3427" spans="6:8">
      <c r="F3427">
        <v>47728</v>
      </c>
      <c r="G3427">
        <v>4080</v>
      </c>
      <c r="H3427" s="9">
        <v>40779</v>
      </c>
    </row>
    <row r="3428" spans="6:8">
      <c r="F3428">
        <v>47752</v>
      </c>
      <c r="G3428">
        <v>3105</v>
      </c>
      <c r="H3428" s="9">
        <v>40781</v>
      </c>
    </row>
    <row r="3429" spans="6:8">
      <c r="F3429">
        <v>47761</v>
      </c>
      <c r="G3429">
        <v>7860</v>
      </c>
      <c r="H3429" s="9">
        <v>40781</v>
      </c>
    </row>
    <row r="3430" spans="6:8">
      <c r="F3430">
        <v>47763</v>
      </c>
      <c r="G3430">
        <v>7460</v>
      </c>
      <c r="H3430" s="9">
        <v>40781</v>
      </c>
    </row>
    <row r="3431" spans="6:8">
      <c r="F3431">
        <v>47765</v>
      </c>
      <c r="G3431">
        <v>1729</v>
      </c>
      <c r="H3431" s="9">
        <v>40781</v>
      </c>
    </row>
    <row r="3432" spans="6:8">
      <c r="F3432">
        <v>47816</v>
      </c>
      <c r="G3432">
        <v>1457</v>
      </c>
      <c r="H3432" s="9">
        <v>40782</v>
      </c>
    </row>
    <row r="3433" spans="6:8">
      <c r="F3433">
        <v>47865</v>
      </c>
      <c r="G3433">
        <v>1748</v>
      </c>
      <c r="H3433" s="9">
        <v>40784</v>
      </c>
    </row>
    <row r="3434" spans="6:8">
      <c r="F3434">
        <v>47868</v>
      </c>
      <c r="G3434">
        <v>7309</v>
      </c>
      <c r="H3434" s="9">
        <v>40784</v>
      </c>
    </row>
    <row r="3435" spans="6:8">
      <c r="F3435">
        <v>47882</v>
      </c>
      <c r="G3435">
        <v>7113</v>
      </c>
      <c r="H3435" s="9">
        <v>40784</v>
      </c>
    </row>
    <row r="3436" spans="6:8">
      <c r="F3436">
        <v>47884</v>
      </c>
      <c r="G3436">
        <v>2881</v>
      </c>
      <c r="H3436" s="9">
        <v>40785</v>
      </c>
    </row>
    <row r="3437" spans="6:8">
      <c r="F3437">
        <v>47887</v>
      </c>
      <c r="G3437">
        <v>7038</v>
      </c>
      <c r="H3437" s="9">
        <v>40785</v>
      </c>
    </row>
    <row r="3438" spans="6:8">
      <c r="F3438">
        <v>47897</v>
      </c>
      <c r="G3438">
        <v>5278</v>
      </c>
      <c r="H3438" s="9">
        <v>40785</v>
      </c>
    </row>
    <row r="3439" spans="6:8">
      <c r="F3439">
        <v>47900</v>
      </c>
      <c r="G3439">
        <v>5825</v>
      </c>
      <c r="H3439" s="9">
        <v>40785</v>
      </c>
    </row>
    <row r="3440" spans="6:8">
      <c r="F3440">
        <v>47906</v>
      </c>
      <c r="G3440">
        <v>4336</v>
      </c>
      <c r="H3440" s="9">
        <v>40785</v>
      </c>
    </row>
    <row r="3441" spans="6:8">
      <c r="F3441">
        <v>47913</v>
      </c>
      <c r="G3441">
        <v>6866</v>
      </c>
      <c r="H3441" s="9">
        <v>40785</v>
      </c>
    </row>
    <row r="3442" spans="6:8">
      <c r="F3442">
        <v>47922</v>
      </c>
      <c r="G3442">
        <v>1960</v>
      </c>
      <c r="H3442" s="9">
        <v>40795</v>
      </c>
    </row>
    <row r="3443" spans="6:8">
      <c r="F3443">
        <v>47923</v>
      </c>
      <c r="G3443">
        <v>2154</v>
      </c>
      <c r="H3443" s="9">
        <v>40795</v>
      </c>
    </row>
    <row r="3444" spans="6:8">
      <c r="F3444">
        <v>47926</v>
      </c>
      <c r="G3444">
        <v>7332</v>
      </c>
      <c r="H3444" s="9">
        <v>40795</v>
      </c>
    </row>
    <row r="3445" spans="6:8">
      <c r="F3445">
        <v>47943</v>
      </c>
      <c r="G3445">
        <v>5613</v>
      </c>
      <c r="H3445" s="9">
        <v>40795</v>
      </c>
    </row>
    <row r="3446" spans="6:8">
      <c r="F3446">
        <v>47950</v>
      </c>
      <c r="G3446">
        <v>1475</v>
      </c>
      <c r="H3446" s="9">
        <v>40795</v>
      </c>
    </row>
    <row r="3447" spans="6:8">
      <c r="F3447">
        <v>47961</v>
      </c>
      <c r="G3447">
        <v>6525</v>
      </c>
      <c r="H3447" s="9">
        <v>40795</v>
      </c>
    </row>
    <row r="3448" spans="6:8">
      <c r="F3448">
        <v>48014</v>
      </c>
      <c r="G3448">
        <v>2755</v>
      </c>
      <c r="H3448" s="9">
        <v>40798</v>
      </c>
    </row>
    <row r="3449" spans="6:8">
      <c r="F3449">
        <v>48017</v>
      </c>
      <c r="G3449">
        <v>3774</v>
      </c>
      <c r="H3449" s="9">
        <v>40798</v>
      </c>
    </row>
    <row r="3450" spans="6:8">
      <c r="F3450">
        <v>48018</v>
      </c>
      <c r="G3450">
        <v>6308</v>
      </c>
      <c r="H3450" s="9">
        <v>40798</v>
      </c>
    </row>
    <row r="3451" spans="6:8">
      <c r="F3451">
        <v>48021</v>
      </c>
      <c r="G3451">
        <v>4071</v>
      </c>
      <c r="H3451" s="9">
        <v>40798</v>
      </c>
    </row>
    <row r="3452" spans="6:8">
      <c r="F3452">
        <v>48039</v>
      </c>
      <c r="G3452">
        <v>2314</v>
      </c>
      <c r="H3452" s="9">
        <v>40798</v>
      </c>
    </row>
    <row r="3453" spans="6:8">
      <c r="F3453">
        <v>48042</v>
      </c>
      <c r="G3453">
        <v>4259</v>
      </c>
      <c r="H3453" s="9">
        <v>40795</v>
      </c>
    </row>
    <row r="3454" spans="6:8">
      <c r="F3454">
        <v>48044</v>
      </c>
      <c r="G3454">
        <v>7659</v>
      </c>
      <c r="H3454" s="9">
        <v>40795</v>
      </c>
    </row>
    <row r="3455" spans="6:8">
      <c r="F3455">
        <v>48048</v>
      </c>
      <c r="G3455">
        <v>4820</v>
      </c>
      <c r="H3455" s="9">
        <v>40795</v>
      </c>
    </row>
    <row r="3456" spans="6:8">
      <c r="F3456">
        <v>48065</v>
      </c>
      <c r="G3456">
        <v>6999</v>
      </c>
      <c r="H3456" s="9">
        <v>40795</v>
      </c>
    </row>
    <row r="3457" spans="6:8">
      <c r="F3457">
        <v>48072</v>
      </c>
      <c r="G3457">
        <v>3815</v>
      </c>
      <c r="H3457" s="9">
        <v>40795</v>
      </c>
    </row>
    <row r="3458" spans="6:8">
      <c r="F3458">
        <v>48076</v>
      </c>
      <c r="G3458">
        <v>3794</v>
      </c>
      <c r="H3458" s="9">
        <v>40795</v>
      </c>
    </row>
    <row r="3459" spans="6:8">
      <c r="F3459">
        <v>48088</v>
      </c>
      <c r="G3459">
        <v>7815</v>
      </c>
      <c r="H3459" s="9">
        <v>40794</v>
      </c>
    </row>
    <row r="3460" spans="6:8">
      <c r="F3460">
        <v>48089</v>
      </c>
      <c r="G3460">
        <v>1803</v>
      </c>
      <c r="H3460" s="9">
        <v>40794</v>
      </c>
    </row>
    <row r="3461" spans="6:8">
      <c r="F3461">
        <v>48102</v>
      </c>
      <c r="G3461">
        <v>7267</v>
      </c>
      <c r="H3461" s="9">
        <v>40794</v>
      </c>
    </row>
    <row r="3462" spans="6:8">
      <c r="F3462">
        <v>48107</v>
      </c>
      <c r="G3462">
        <v>7638</v>
      </c>
      <c r="H3462" s="9">
        <v>40794</v>
      </c>
    </row>
    <row r="3463" spans="6:8">
      <c r="F3463">
        <v>48109</v>
      </c>
      <c r="G3463">
        <v>3177</v>
      </c>
      <c r="H3463" s="9">
        <v>40794</v>
      </c>
    </row>
    <row r="3464" spans="6:8">
      <c r="F3464">
        <v>48113</v>
      </c>
      <c r="G3464">
        <v>7904</v>
      </c>
      <c r="H3464" s="9">
        <v>40798</v>
      </c>
    </row>
    <row r="3465" spans="6:8">
      <c r="F3465">
        <v>48114</v>
      </c>
      <c r="G3465">
        <v>6766</v>
      </c>
      <c r="H3465" s="9">
        <v>40798</v>
      </c>
    </row>
    <row r="3466" spans="6:8">
      <c r="F3466">
        <v>48116</v>
      </c>
      <c r="G3466">
        <v>7905</v>
      </c>
      <c r="H3466" s="9">
        <v>40798</v>
      </c>
    </row>
    <row r="3467" spans="6:8">
      <c r="F3467">
        <v>48179</v>
      </c>
      <c r="G3467">
        <v>936</v>
      </c>
      <c r="H3467" s="9">
        <v>40798</v>
      </c>
    </row>
    <row r="3468" spans="6:8">
      <c r="F3468">
        <v>48194</v>
      </c>
      <c r="G3468">
        <v>7911</v>
      </c>
      <c r="H3468" s="9">
        <v>40799</v>
      </c>
    </row>
    <row r="3469" spans="6:8">
      <c r="F3469">
        <v>48204</v>
      </c>
      <c r="G3469">
        <v>1037</v>
      </c>
      <c r="H3469" s="9">
        <v>40799</v>
      </c>
    </row>
    <row r="3470" spans="6:8">
      <c r="F3470">
        <v>48278</v>
      </c>
      <c r="G3470">
        <v>6883</v>
      </c>
      <c r="H3470" s="9">
        <v>40800</v>
      </c>
    </row>
    <row r="3471" spans="6:8">
      <c r="F3471">
        <v>48279</v>
      </c>
      <c r="G3471">
        <v>6285</v>
      </c>
      <c r="H3471" s="9">
        <v>40800</v>
      </c>
    </row>
    <row r="3472" spans="6:8">
      <c r="F3472">
        <v>48296</v>
      </c>
      <c r="G3472">
        <v>6436</v>
      </c>
      <c r="H3472" s="9">
        <v>40801</v>
      </c>
    </row>
    <row r="3473" spans="6:8">
      <c r="F3473">
        <v>48327</v>
      </c>
      <c r="G3473">
        <v>6826</v>
      </c>
      <c r="H3473" s="9">
        <v>40802</v>
      </c>
    </row>
    <row r="3474" spans="6:8">
      <c r="F3474">
        <v>48340</v>
      </c>
      <c r="G3474">
        <v>1481</v>
      </c>
      <c r="H3474" s="9">
        <v>40802</v>
      </c>
    </row>
    <row r="3475" spans="6:8">
      <c r="F3475">
        <v>48357</v>
      </c>
      <c r="G3475">
        <v>7761</v>
      </c>
      <c r="H3475" s="9">
        <v>40802</v>
      </c>
    </row>
    <row r="3476" spans="6:8">
      <c r="F3476">
        <v>48369</v>
      </c>
      <c r="G3476">
        <v>95</v>
      </c>
      <c r="H3476" s="9">
        <v>40805</v>
      </c>
    </row>
    <row r="3477" spans="6:8">
      <c r="F3477">
        <v>48374</v>
      </c>
      <c r="G3477">
        <v>7767</v>
      </c>
      <c r="H3477" s="9">
        <v>40805</v>
      </c>
    </row>
    <row r="3478" spans="6:8">
      <c r="F3478">
        <v>48375</v>
      </c>
      <c r="G3478">
        <v>7454</v>
      </c>
      <c r="H3478" s="9">
        <v>40805</v>
      </c>
    </row>
    <row r="3479" spans="6:8">
      <c r="F3479">
        <v>48377</v>
      </c>
      <c r="G3479">
        <v>783</v>
      </c>
      <c r="H3479" s="9">
        <v>40805</v>
      </c>
    </row>
    <row r="3480" spans="6:8">
      <c r="F3480">
        <v>48378</v>
      </c>
      <c r="G3480">
        <v>2083</v>
      </c>
      <c r="H3480" s="9">
        <v>40805</v>
      </c>
    </row>
    <row r="3481" spans="6:8">
      <c r="F3481">
        <v>48379</v>
      </c>
      <c r="G3481">
        <v>1933</v>
      </c>
      <c r="H3481" s="9">
        <v>40805</v>
      </c>
    </row>
    <row r="3482" spans="6:8">
      <c r="F3482">
        <v>48390</v>
      </c>
      <c r="G3482">
        <v>2957</v>
      </c>
      <c r="H3482" s="9">
        <v>40806</v>
      </c>
    </row>
    <row r="3483" spans="6:8">
      <c r="F3483">
        <v>48411</v>
      </c>
      <c r="G3483">
        <v>1290</v>
      </c>
      <c r="H3483" s="9">
        <v>40806</v>
      </c>
    </row>
    <row r="3484" spans="6:8">
      <c r="F3484">
        <v>48419</v>
      </c>
      <c r="G3484">
        <v>5729</v>
      </c>
      <c r="H3484" s="9">
        <v>40806</v>
      </c>
    </row>
    <row r="3485" spans="6:8">
      <c r="F3485">
        <v>48425</v>
      </c>
      <c r="G3485">
        <v>2457</v>
      </c>
      <c r="H3485" s="9">
        <v>40806</v>
      </c>
    </row>
    <row r="3486" spans="6:8">
      <c r="F3486">
        <v>48426</v>
      </c>
      <c r="G3486">
        <v>2138</v>
      </c>
      <c r="H3486" s="9">
        <v>40806</v>
      </c>
    </row>
    <row r="3487" spans="6:8">
      <c r="F3487">
        <v>48482</v>
      </c>
      <c r="G3487">
        <v>1495</v>
      </c>
      <c r="H3487" s="9">
        <v>40808</v>
      </c>
    </row>
    <row r="3488" spans="6:8">
      <c r="F3488">
        <v>48488</v>
      </c>
      <c r="G3488">
        <v>6492</v>
      </c>
      <c r="H3488" s="9">
        <v>40808</v>
      </c>
    </row>
    <row r="3489" spans="6:8">
      <c r="F3489">
        <v>48495</v>
      </c>
      <c r="G3489">
        <v>5782</v>
      </c>
      <c r="H3489" s="9">
        <v>40809</v>
      </c>
    </row>
    <row r="3490" spans="6:8">
      <c r="F3490">
        <v>48504</v>
      </c>
      <c r="G3490">
        <v>1431</v>
      </c>
      <c r="H3490" s="9">
        <v>40809</v>
      </c>
    </row>
    <row r="3491" spans="6:8">
      <c r="F3491">
        <v>48507</v>
      </c>
      <c r="G3491">
        <v>2819</v>
      </c>
      <c r="H3491" s="9">
        <v>40809</v>
      </c>
    </row>
    <row r="3492" spans="6:8">
      <c r="F3492">
        <v>48508</v>
      </c>
      <c r="G3492">
        <v>1606</v>
      </c>
      <c r="H3492" s="9">
        <v>40809</v>
      </c>
    </row>
    <row r="3493" spans="6:8">
      <c r="F3493">
        <v>48531</v>
      </c>
      <c r="G3493">
        <v>2872</v>
      </c>
      <c r="H3493" s="9">
        <v>40812</v>
      </c>
    </row>
    <row r="3494" spans="6:8">
      <c r="F3494">
        <v>48533</v>
      </c>
      <c r="G3494">
        <v>7503</v>
      </c>
      <c r="H3494" s="9">
        <v>40812</v>
      </c>
    </row>
    <row r="3495" spans="6:8">
      <c r="F3495">
        <v>48534</v>
      </c>
      <c r="G3495">
        <v>3196</v>
      </c>
      <c r="H3495" s="9">
        <v>40812</v>
      </c>
    </row>
    <row r="3496" spans="6:8">
      <c r="F3496">
        <v>48540</v>
      </c>
      <c r="G3496">
        <v>2219</v>
      </c>
      <c r="H3496" s="9">
        <v>40812</v>
      </c>
    </row>
    <row r="3497" spans="6:8">
      <c r="F3497">
        <v>48548</v>
      </c>
      <c r="G3497">
        <v>805</v>
      </c>
      <c r="H3497" s="9">
        <v>40814</v>
      </c>
    </row>
    <row r="3498" spans="6:8">
      <c r="F3498">
        <v>48568</v>
      </c>
      <c r="G3498">
        <v>2111</v>
      </c>
      <c r="H3498" s="9">
        <v>40814</v>
      </c>
    </row>
    <row r="3499" spans="6:8">
      <c r="F3499">
        <v>48569</v>
      </c>
      <c r="G3499">
        <v>2674</v>
      </c>
      <c r="H3499" s="9">
        <v>40814</v>
      </c>
    </row>
    <row r="3500" spans="6:8">
      <c r="F3500">
        <v>48602</v>
      </c>
      <c r="G3500">
        <v>1545</v>
      </c>
      <c r="H3500" s="9">
        <v>40814</v>
      </c>
    </row>
    <row r="3501" spans="6:8">
      <c r="F3501">
        <v>48612</v>
      </c>
      <c r="G3501">
        <v>473</v>
      </c>
      <c r="H3501" s="9">
        <v>40814</v>
      </c>
    </row>
    <row r="3502" spans="6:8">
      <c r="F3502">
        <v>48628</v>
      </c>
      <c r="G3502">
        <v>7291</v>
      </c>
      <c r="H3502" s="9">
        <v>40815</v>
      </c>
    </row>
    <row r="3503" spans="6:8">
      <c r="F3503">
        <v>48643</v>
      </c>
      <c r="G3503">
        <v>6177</v>
      </c>
      <c r="H3503" s="9">
        <v>40816</v>
      </c>
    </row>
    <row r="3504" spans="6:8">
      <c r="F3504">
        <v>48647</v>
      </c>
      <c r="G3504">
        <v>6842</v>
      </c>
      <c r="H3504" s="9">
        <v>40819</v>
      </c>
    </row>
    <row r="3505" spans="6:8">
      <c r="F3505">
        <v>48650</v>
      </c>
      <c r="G3505">
        <v>2838</v>
      </c>
      <c r="H3505" s="9">
        <v>40819</v>
      </c>
    </row>
    <row r="3506" spans="6:8">
      <c r="F3506">
        <v>48659</v>
      </c>
      <c r="G3506">
        <v>5918</v>
      </c>
      <c r="H3506" s="9">
        <v>40819</v>
      </c>
    </row>
    <row r="3507" spans="6:8">
      <c r="F3507">
        <v>48668</v>
      </c>
      <c r="G3507">
        <v>7917</v>
      </c>
      <c r="H3507" s="9">
        <v>40819</v>
      </c>
    </row>
    <row r="3508" spans="6:8">
      <c r="F3508">
        <v>48669</v>
      </c>
      <c r="G3508">
        <v>7918</v>
      </c>
      <c r="H3508" s="9">
        <v>40819</v>
      </c>
    </row>
    <row r="3509" spans="6:8">
      <c r="F3509">
        <v>48670</v>
      </c>
      <c r="G3509">
        <v>7919</v>
      </c>
      <c r="H3509" s="9">
        <v>40819</v>
      </c>
    </row>
    <row r="3510" spans="6:8">
      <c r="F3510">
        <v>48671</v>
      </c>
      <c r="G3510">
        <v>7920</v>
      </c>
      <c r="H3510" s="9">
        <v>40819</v>
      </c>
    </row>
    <row r="3511" spans="6:8">
      <c r="F3511">
        <v>48672</v>
      </c>
      <c r="G3511">
        <v>7921</v>
      </c>
      <c r="H3511" s="9">
        <v>40819</v>
      </c>
    </row>
    <row r="3512" spans="6:8">
      <c r="F3512">
        <v>48673</v>
      </c>
      <c r="G3512">
        <v>7922</v>
      </c>
      <c r="H3512" s="9">
        <v>40819</v>
      </c>
    </row>
    <row r="3513" spans="6:8">
      <c r="F3513">
        <v>48674</v>
      </c>
      <c r="G3513">
        <v>7923</v>
      </c>
      <c r="H3513" s="9">
        <v>40819</v>
      </c>
    </row>
    <row r="3514" spans="6:8">
      <c r="F3514">
        <v>48679</v>
      </c>
      <c r="G3514">
        <v>7924</v>
      </c>
      <c r="H3514" s="9">
        <v>40819</v>
      </c>
    </row>
    <row r="3515" spans="6:8">
      <c r="F3515">
        <v>48680</v>
      </c>
      <c r="G3515">
        <v>7857</v>
      </c>
      <c r="H3515" s="9">
        <v>40819</v>
      </c>
    </row>
    <row r="3516" spans="6:8">
      <c r="F3516">
        <v>48683</v>
      </c>
      <c r="G3516">
        <v>2680</v>
      </c>
      <c r="H3516" s="9">
        <v>40819</v>
      </c>
    </row>
    <row r="3517" spans="6:8">
      <c r="F3517">
        <v>48685</v>
      </c>
      <c r="G3517">
        <v>4086</v>
      </c>
      <c r="H3517" s="9">
        <v>40819</v>
      </c>
    </row>
    <row r="3518" spans="6:8">
      <c r="F3518">
        <v>48686</v>
      </c>
      <c r="G3518">
        <v>7526</v>
      </c>
      <c r="H3518" s="9">
        <v>40819</v>
      </c>
    </row>
    <row r="3519" spans="6:8">
      <c r="F3519">
        <v>48693</v>
      </c>
      <c r="G3519">
        <v>2129</v>
      </c>
      <c r="H3519" s="9">
        <v>40819</v>
      </c>
    </row>
    <row r="3520" spans="6:8">
      <c r="F3520">
        <v>48695</v>
      </c>
      <c r="G3520">
        <v>3098</v>
      </c>
      <c r="H3520" s="9">
        <v>40819</v>
      </c>
    </row>
    <row r="3521" spans="6:8">
      <c r="F3521">
        <v>48710</v>
      </c>
      <c r="G3521">
        <v>5501</v>
      </c>
      <c r="H3521" s="9">
        <v>40819</v>
      </c>
    </row>
    <row r="3522" spans="6:8">
      <c r="F3522">
        <v>48712</v>
      </c>
      <c r="G3522">
        <v>7152</v>
      </c>
      <c r="H3522" s="9">
        <v>40819</v>
      </c>
    </row>
    <row r="3523" spans="6:8">
      <c r="F3523">
        <v>48717</v>
      </c>
      <c r="G3523">
        <v>2251</v>
      </c>
      <c r="H3523" s="9">
        <v>40819</v>
      </c>
    </row>
    <row r="3524" spans="6:8">
      <c r="F3524">
        <v>48718</v>
      </c>
      <c r="G3524">
        <v>198</v>
      </c>
      <c r="H3524" s="9">
        <v>40819</v>
      </c>
    </row>
    <row r="3525" spans="6:8">
      <c r="F3525">
        <v>48748</v>
      </c>
      <c r="G3525">
        <v>6178</v>
      </c>
      <c r="H3525" s="9">
        <v>40820</v>
      </c>
    </row>
    <row r="3526" spans="6:8">
      <c r="F3526">
        <v>48751</v>
      </c>
      <c r="G3526">
        <v>7149</v>
      </c>
      <c r="H3526" s="9">
        <v>40820</v>
      </c>
    </row>
    <row r="3527" spans="6:8">
      <c r="F3527">
        <v>48753</v>
      </c>
      <c r="G3527">
        <v>2056</v>
      </c>
      <c r="H3527" s="9">
        <v>40820</v>
      </c>
    </row>
    <row r="3528" spans="6:8">
      <c r="F3528">
        <v>48765</v>
      </c>
      <c r="G3528">
        <v>7030</v>
      </c>
      <c r="H3528" s="9">
        <v>40820</v>
      </c>
    </row>
    <row r="3529" spans="6:8">
      <c r="F3529">
        <v>48778</v>
      </c>
      <c r="G3529">
        <v>2319</v>
      </c>
      <c r="H3529" s="9">
        <v>40821</v>
      </c>
    </row>
    <row r="3530" spans="6:8">
      <c r="F3530">
        <v>48789</v>
      </c>
      <c r="G3530">
        <v>6496</v>
      </c>
      <c r="H3530" s="9">
        <v>40821</v>
      </c>
    </row>
    <row r="3531" spans="6:8">
      <c r="F3531">
        <v>48818</v>
      </c>
      <c r="G3531">
        <v>19</v>
      </c>
      <c r="H3531" s="9">
        <v>40821</v>
      </c>
    </row>
    <row r="3532" spans="6:8">
      <c r="F3532">
        <v>48820</v>
      </c>
      <c r="G3532">
        <v>7939</v>
      </c>
      <c r="H3532" s="9">
        <v>40821</v>
      </c>
    </row>
    <row r="3533" spans="6:8">
      <c r="F3533">
        <v>48821</v>
      </c>
      <c r="G3533">
        <v>7940</v>
      </c>
      <c r="H3533" s="9">
        <v>40821</v>
      </c>
    </row>
    <row r="3534" spans="6:8">
      <c r="F3534">
        <v>48830</v>
      </c>
      <c r="G3534">
        <v>7930</v>
      </c>
      <c r="H3534" s="9">
        <v>40821</v>
      </c>
    </row>
    <row r="3535" spans="6:8">
      <c r="F3535">
        <v>48831</v>
      </c>
      <c r="G3535">
        <v>7931</v>
      </c>
      <c r="H3535" s="9">
        <v>40821</v>
      </c>
    </row>
    <row r="3536" spans="6:8">
      <c r="F3536">
        <v>48833</v>
      </c>
      <c r="G3536">
        <v>7927</v>
      </c>
      <c r="H3536" s="9">
        <v>40821</v>
      </c>
    </row>
    <row r="3537" spans="6:8">
      <c r="F3537">
        <v>48839</v>
      </c>
      <c r="G3537">
        <v>392</v>
      </c>
      <c r="H3537" s="9">
        <v>40822</v>
      </c>
    </row>
    <row r="3538" spans="6:8">
      <c r="F3538">
        <v>48840</v>
      </c>
      <c r="G3538">
        <v>2380</v>
      </c>
      <c r="H3538" s="9">
        <v>40822</v>
      </c>
    </row>
    <row r="3539" spans="6:8">
      <c r="F3539">
        <v>48841</v>
      </c>
      <c r="G3539">
        <v>85</v>
      </c>
      <c r="H3539" s="9">
        <v>40822</v>
      </c>
    </row>
    <row r="3540" spans="6:8">
      <c r="F3540">
        <v>48881</v>
      </c>
      <c r="G3540">
        <v>3772</v>
      </c>
      <c r="H3540" s="9">
        <v>40822</v>
      </c>
    </row>
    <row r="3541" spans="6:8">
      <c r="F3541">
        <v>48908</v>
      </c>
      <c r="G3541">
        <v>7941</v>
      </c>
      <c r="H3541" s="9">
        <v>40822</v>
      </c>
    </row>
    <row r="3542" spans="6:8">
      <c r="F3542">
        <v>48910</v>
      </c>
      <c r="G3542">
        <v>7942</v>
      </c>
      <c r="H3542" s="9">
        <v>40822</v>
      </c>
    </row>
    <row r="3543" spans="6:8">
      <c r="F3543">
        <v>48911</v>
      </c>
      <c r="G3543">
        <v>7943</v>
      </c>
      <c r="H3543" s="9">
        <v>40822</v>
      </c>
    </row>
    <row r="3544" spans="6:8">
      <c r="F3544">
        <v>48918</v>
      </c>
      <c r="G3544">
        <v>7447</v>
      </c>
      <c r="H3544" s="9">
        <v>40823</v>
      </c>
    </row>
    <row r="3545" spans="6:8">
      <c r="F3545">
        <v>48957</v>
      </c>
      <c r="G3545">
        <v>2409</v>
      </c>
      <c r="H3545" s="9">
        <v>40823</v>
      </c>
    </row>
    <row r="3546" spans="6:8">
      <c r="F3546">
        <v>49020</v>
      </c>
      <c r="G3546">
        <v>5496</v>
      </c>
      <c r="H3546" s="9">
        <v>40827</v>
      </c>
    </row>
    <row r="3547" spans="6:8">
      <c r="F3547">
        <v>49021</v>
      </c>
      <c r="G3547">
        <v>5306</v>
      </c>
      <c r="H3547" s="9">
        <v>40827</v>
      </c>
    </row>
    <row r="3548" spans="6:8">
      <c r="F3548">
        <v>49030</v>
      </c>
      <c r="G3548">
        <v>5465</v>
      </c>
      <c r="H3548" s="9">
        <v>40828</v>
      </c>
    </row>
    <row r="3549" spans="6:8">
      <c r="F3549">
        <v>49033</v>
      </c>
      <c r="G3549">
        <v>6758</v>
      </c>
      <c r="H3549" s="9">
        <v>40828</v>
      </c>
    </row>
    <row r="3550" spans="6:8">
      <c r="F3550">
        <v>49050</v>
      </c>
      <c r="G3550">
        <v>857</v>
      </c>
      <c r="H3550" s="9">
        <v>40828</v>
      </c>
    </row>
    <row r="3551" spans="6:8">
      <c r="F3551">
        <v>49053</v>
      </c>
      <c r="G3551">
        <v>3015</v>
      </c>
      <c r="H3551" s="9">
        <v>40828</v>
      </c>
    </row>
    <row r="3552" spans="6:8">
      <c r="F3552">
        <v>49056</v>
      </c>
      <c r="G3552">
        <v>2684</v>
      </c>
      <c r="H3552" s="9">
        <v>40829</v>
      </c>
    </row>
    <row r="3553" spans="6:8">
      <c r="F3553">
        <v>49058</v>
      </c>
      <c r="G3553">
        <v>961</v>
      </c>
      <c r="H3553" s="9">
        <v>40829</v>
      </c>
    </row>
    <row r="3554" spans="6:8">
      <c r="F3554">
        <v>49064</v>
      </c>
      <c r="G3554">
        <v>853</v>
      </c>
      <c r="H3554" s="9">
        <v>40829</v>
      </c>
    </row>
    <row r="3555" spans="6:8">
      <c r="F3555">
        <v>49073</v>
      </c>
      <c r="G3555">
        <v>4543</v>
      </c>
      <c r="H3555" s="9">
        <v>40829</v>
      </c>
    </row>
    <row r="3556" spans="6:8">
      <c r="F3556">
        <v>49084</v>
      </c>
      <c r="G3556">
        <v>2683</v>
      </c>
      <c r="H3556" s="9">
        <v>40829</v>
      </c>
    </row>
    <row r="3557" spans="6:8">
      <c r="F3557">
        <v>49089</v>
      </c>
      <c r="G3557">
        <v>359</v>
      </c>
      <c r="H3557" s="9">
        <v>40829</v>
      </c>
    </row>
    <row r="3558" spans="6:8">
      <c r="F3558">
        <v>49110</v>
      </c>
      <c r="G3558">
        <v>1892</v>
      </c>
      <c r="H3558" s="9">
        <v>40829</v>
      </c>
    </row>
    <row r="3559" spans="6:8">
      <c r="F3559">
        <v>49112</v>
      </c>
      <c r="G3559">
        <v>6647</v>
      </c>
      <c r="H3559" s="9">
        <v>40829</v>
      </c>
    </row>
    <row r="3560" spans="6:8">
      <c r="F3560">
        <v>49146</v>
      </c>
      <c r="G3560">
        <v>288</v>
      </c>
      <c r="H3560" s="9">
        <v>40834</v>
      </c>
    </row>
    <row r="3561" spans="6:8">
      <c r="F3561">
        <v>49153</v>
      </c>
      <c r="G3561">
        <v>4283</v>
      </c>
      <c r="H3561" s="9">
        <v>40834</v>
      </c>
    </row>
    <row r="3562" spans="6:8">
      <c r="F3562">
        <v>49169</v>
      </c>
      <c r="G3562">
        <v>932</v>
      </c>
      <c r="H3562" s="9">
        <v>40835</v>
      </c>
    </row>
    <row r="3563" spans="6:8">
      <c r="F3563">
        <v>49170</v>
      </c>
      <c r="G3563">
        <v>7547</v>
      </c>
      <c r="H3563" s="9">
        <v>40835</v>
      </c>
    </row>
    <row r="3564" spans="6:8">
      <c r="F3564">
        <v>49171</v>
      </c>
      <c r="G3564">
        <v>2568</v>
      </c>
      <c r="H3564" s="9">
        <v>40835</v>
      </c>
    </row>
    <row r="3565" spans="6:8">
      <c r="F3565">
        <v>49178</v>
      </c>
      <c r="G3565">
        <v>5771</v>
      </c>
      <c r="H3565" s="9">
        <v>40829</v>
      </c>
    </row>
    <row r="3566" spans="6:8">
      <c r="F3566">
        <v>49179</v>
      </c>
      <c r="G3566">
        <v>6853</v>
      </c>
      <c r="H3566" s="9">
        <v>40829</v>
      </c>
    </row>
    <row r="3567" spans="6:8">
      <c r="F3567">
        <v>49196</v>
      </c>
      <c r="G3567">
        <v>6659</v>
      </c>
      <c r="H3567" s="9">
        <v>40829</v>
      </c>
    </row>
    <row r="3568" spans="6:8">
      <c r="F3568">
        <v>49197</v>
      </c>
      <c r="G3568">
        <v>5524</v>
      </c>
      <c r="H3568" s="9">
        <v>40829</v>
      </c>
    </row>
    <row r="3569" spans="6:8">
      <c r="F3569">
        <v>49207</v>
      </c>
      <c r="G3569">
        <v>7337</v>
      </c>
      <c r="H3569" s="9">
        <v>40833</v>
      </c>
    </row>
    <row r="3570" spans="6:8">
      <c r="F3570">
        <v>49210</v>
      </c>
      <c r="G3570">
        <v>2466</v>
      </c>
      <c r="H3570" s="9">
        <v>40833</v>
      </c>
    </row>
    <row r="3571" spans="6:8">
      <c r="F3571">
        <v>49214</v>
      </c>
      <c r="G3571">
        <v>7330</v>
      </c>
      <c r="H3571" s="9">
        <v>40833</v>
      </c>
    </row>
    <row r="3572" spans="6:8">
      <c r="F3572">
        <v>49219</v>
      </c>
      <c r="G3572">
        <v>4966</v>
      </c>
      <c r="H3572" s="9">
        <v>40835</v>
      </c>
    </row>
    <row r="3573" spans="6:8">
      <c r="F3573">
        <v>49231</v>
      </c>
      <c r="G3573">
        <v>759</v>
      </c>
      <c r="H3573" s="9">
        <v>40835</v>
      </c>
    </row>
    <row r="3574" spans="6:8">
      <c r="F3574">
        <v>49251</v>
      </c>
      <c r="G3574">
        <v>2051</v>
      </c>
      <c r="H3574" s="9">
        <v>40837</v>
      </c>
    </row>
    <row r="3575" spans="6:8">
      <c r="F3575">
        <v>49265</v>
      </c>
      <c r="G3575">
        <v>1673</v>
      </c>
      <c r="H3575" s="9">
        <v>40837</v>
      </c>
    </row>
    <row r="3576" spans="6:8">
      <c r="F3576">
        <v>49343</v>
      </c>
      <c r="G3576">
        <v>2451</v>
      </c>
      <c r="H3576" s="9">
        <v>40837</v>
      </c>
    </row>
    <row r="3577" spans="6:8">
      <c r="F3577">
        <v>49359</v>
      </c>
      <c r="G3577">
        <v>6708</v>
      </c>
      <c r="H3577" s="9">
        <v>40837</v>
      </c>
    </row>
    <row r="3578" spans="6:8">
      <c r="F3578">
        <v>49366</v>
      </c>
      <c r="G3578">
        <v>7914</v>
      </c>
      <c r="H3578" s="9">
        <v>40837</v>
      </c>
    </row>
    <row r="3579" spans="6:8">
      <c r="F3579">
        <v>49370</v>
      </c>
      <c r="G3579">
        <v>4680</v>
      </c>
      <c r="H3579" s="9">
        <v>40837</v>
      </c>
    </row>
    <row r="3580" spans="6:8">
      <c r="F3580">
        <v>49372</v>
      </c>
      <c r="G3580">
        <v>6190</v>
      </c>
      <c r="H3580" s="9">
        <v>40837</v>
      </c>
    </row>
    <row r="3581" spans="6:8">
      <c r="F3581">
        <v>49373</v>
      </c>
      <c r="G3581">
        <v>6028</v>
      </c>
      <c r="H3581" s="9">
        <v>40837</v>
      </c>
    </row>
    <row r="3582" spans="6:8">
      <c r="F3582">
        <v>49385</v>
      </c>
      <c r="G3582">
        <v>1833</v>
      </c>
      <c r="H3582" s="9">
        <v>40837</v>
      </c>
    </row>
    <row r="3583" spans="6:8">
      <c r="F3583">
        <v>49396</v>
      </c>
      <c r="G3583">
        <v>877</v>
      </c>
      <c r="H3583" s="9">
        <v>40840</v>
      </c>
    </row>
    <row r="3584" spans="6:8">
      <c r="F3584">
        <v>49397</v>
      </c>
      <c r="G3584">
        <v>877</v>
      </c>
      <c r="H3584" s="9">
        <v>40840</v>
      </c>
    </row>
    <row r="3585" spans="6:8">
      <c r="F3585">
        <v>49400</v>
      </c>
      <c r="G3585">
        <v>5847</v>
      </c>
      <c r="H3585" s="9">
        <v>40842</v>
      </c>
    </row>
    <row r="3586" spans="6:8">
      <c r="F3586">
        <v>49423</v>
      </c>
      <c r="G3586">
        <v>7331</v>
      </c>
      <c r="H3586" s="9">
        <v>40842</v>
      </c>
    </row>
    <row r="3587" spans="6:8">
      <c r="F3587">
        <v>49464</v>
      </c>
      <c r="G3587">
        <v>6638</v>
      </c>
      <c r="H3587" s="9">
        <v>40842</v>
      </c>
    </row>
    <row r="3588" spans="6:8">
      <c r="F3588">
        <v>49479</v>
      </c>
      <c r="G3588">
        <v>4786</v>
      </c>
      <c r="H3588" s="9">
        <v>40842</v>
      </c>
    </row>
    <row r="3589" spans="6:8">
      <c r="F3589">
        <v>49488</v>
      </c>
      <c r="G3589">
        <v>967</v>
      </c>
      <c r="H3589" s="9">
        <v>40842</v>
      </c>
    </row>
    <row r="3590" spans="6:8">
      <c r="F3590">
        <v>49490</v>
      </c>
      <c r="G3590">
        <v>967</v>
      </c>
      <c r="H3590" s="9">
        <v>40842</v>
      </c>
    </row>
    <row r="3591" spans="6:8">
      <c r="F3591">
        <v>49506</v>
      </c>
      <c r="G3591">
        <v>1971</v>
      </c>
      <c r="H3591" s="9">
        <v>40847</v>
      </c>
    </row>
    <row r="3592" spans="6:8">
      <c r="F3592">
        <v>49519</v>
      </c>
      <c r="G3592">
        <v>4197</v>
      </c>
      <c r="H3592" s="9">
        <v>40847</v>
      </c>
    </row>
    <row r="3593" spans="6:8">
      <c r="F3593">
        <v>49520</v>
      </c>
      <c r="G3593">
        <v>2874</v>
      </c>
      <c r="H3593" s="9">
        <v>40847</v>
      </c>
    </row>
    <row r="3594" spans="6:8">
      <c r="F3594">
        <v>49533</v>
      </c>
      <c r="G3594">
        <v>6359</v>
      </c>
      <c r="H3594" s="9">
        <v>40847</v>
      </c>
    </row>
    <row r="3595" spans="6:8">
      <c r="F3595">
        <v>49537</v>
      </c>
      <c r="G3595">
        <v>5930</v>
      </c>
      <c r="H3595" s="9">
        <v>40847</v>
      </c>
    </row>
    <row r="3596" spans="6:8">
      <c r="F3596">
        <v>49541</v>
      </c>
      <c r="G3596">
        <v>4686</v>
      </c>
      <c r="H3596" s="9">
        <v>40847</v>
      </c>
    </row>
    <row r="3597" spans="6:8">
      <c r="F3597">
        <v>49552</v>
      </c>
      <c r="G3597">
        <v>3743</v>
      </c>
      <c r="H3597" s="9">
        <v>40847</v>
      </c>
    </row>
    <row r="3598" spans="6:8">
      <c r="F3598">
        <v>49555</v>
      </c>
      <c r="G3598">
        <v>666</v>
      </c>
      <c r="H3598" s="9">
        <v>40847</v>
      </c>
    </row>
    <row r="3599" spans="6:8">
      <c r="F3599">
        <v>49561</v>
      </c>
      <c r="G3599">
        <v>460</v>
      </c>
      <c r="H3599" s="9">
        <v>40847</v>
      </c>
    </row>
    <row r="3600" spans="6:8">
      <c r="F3600">
        <v>49562</v>
      </c>
      <c r="G3600">
        <v>5694</v>
      </c>
      <c r="H3600" s="9">
        <v>40847</v>
      </c>
    </row>
    <row r="3601" spans="6:8">
      <c r="F3601">
        <v>49570</v>
      </c>
      <c r="G3601">
        <v>2484</v>
      </c>
      <c r="H3601" s="9">
        <v>40847</v>
      </c>
    </row>
    <row r="3602" spans="6:8">
      <c r="F3602">
        <v>49578</v>
      </c>
      <c r="G3602">
        <v>1120</v>
      </c>
      <c r="H3602" s="9">
        <v>40847</v>
      </c>
    </row>
    <row r="3603" spans="6:8">
      <c r="F3603">
        <v>49598</v>
      </c>
      <c r="G3603">
        <v>2898</v>
      </c>
      <c r="H3603" s="9">
        <v>40847</v>
      </c>
    </row>
    <row r="3604" spans="6:8">
      <c r="F3604">
        <v>49603</v>
      </c>
      <c r="G3604">
        <v>1119</v>
      </c>
      <c r="H3604" s="9">
        <v>40847</v>
      </c>
    </row>
    <row r="3605" spans="6:8">
      <c r="F3605">
        <v>49606</v>
      </c>
      <c r="G3605">
        <v>2072</v>
      </c>
      <c r="H3605" s="9">
        <v>40847</v>
      </c>
    </row>
    <row r="3606" spans="6:8">
      <c r="F3606">
        <v>49620</v>
      </c>
      <c r="G3606">
        <v>2071</v>
      </c>
      <c r="H3606" s="9">
        <v>40847</v>
      </c>
    </row>
    <row r="3607" spans="6:8">
      <c r="F3607">
        <v>49624</v>
      </c>
      <c r="G3607">
        <v>6108</v>
      </c>
      <c r="H3607" s="9">
        <v>40847</v>
      </c>
    </row>
    <row r="3608" spans="6:8">
      <c r="F3608">
        <v>49646</v>
      </c>
      <c r="G3608">
        <v>7606</v>
      </c>
      <c r="H3608" s="9">
        <v>40847</v>
      </c>
    </row>
    <row r="3609" spans="6:8">
      <c r="F3609">
        <v>49647</v>
      </c>
      <c r="G3609">
        <v>7530</v>
      </c>
      <c r="H3609" s="9">
        <v>40847</v>
      </c>
    </row>
    <row r="3610" spans="6:8">
      <c r="F3610">
        <v>49648</v>
      </c>
      <c r="G3610">
        <v>7599</v>
      </c>
      <c r="H3610" s="9">
        <v>40847</v>
      </c>
    </row>
    <row r="3611" spans="6:8">
      <c r="F3611">
        <v>49651</v>
      </c>
      <c r="G3611">
        <v>2121</v>
      </c>
      <c r="H3611" s="9">
        <v>40847</v>
      </c>
    </row>
    <row r="3612" spans="6:8">
      <c r="F3612">
        <v>49659</v>
      </c>
      <c r="G3612">
        <v>6759</v>
      </c>
      <c r="H3612" s="9">
        <v>40847</v>
      </c>
    </row>
    <row r="3613" spans="6:8">
      <c r="F3613">
        <v>49672</v>
      </c>
      <c r="G3613">
        <v>589</v>
      </c>
      <c r="H3613" s="9">
        <v>40848</v>
      </c>
    </row>
    <row r="3614" spans="6:8">
      <c r="F3614">
        <v>49694</v>
      </c>
      <c r="G3614">
        <v>6951</v>
      </c>
      <c r="H3614" s="9">
        <v>40848</v>
      </c>
    </row>
    <row r="3615" spans="6:8">
      <c r="F3615">
        <v>49712</v>
      </c>
      <c r="G3615">
        <v>5990</v>
      </c>
      <c r="H3615" s="9">
        <v>40848</v>
      </c>
    </row>
    <row r="3616" spans="6:8">
      <c r="F3616">
        <v>49724</v>
      </c>
      <c r="G3616">
        <v>7964</v>
      </c>
      <c r="H3616" s="9">
        <v>40848</v>
      </c>
    </row>
    <row r="3617" spans="6:8">
      <c r="F3617">
        <v>49728</v>
      </c>
      <c r="G3617">
        <v>7160</v>
      </c>
      <c r="H3617" s="9">
        <v>40852</v>
      </c>
    </row>
    <row r="3618" spans="6:8">
      <c r="F3618">
        <v>49746</v>
      </c>
      <c r="G3618">
        <v>4659</v>
      </c>
      <c r="H3618" s="9">
        <v>40852</v>
      </c>
    </row>
    <row r="3619" spans="6:8">
      <c r="F3619">
        <v>49756</v>
      </c>
      <c r="G3619">
        <v>6987</v>
      </c>
      <c r="H3619" s="9">
        <v>40852</v>
      </c>
    </row>
    <row r="3620" spans="6:8">
      <c r="F3620">
        <v>49779</v>
      </c>
      <c r="G3620">
        <v>1464</v>
      </c>
      <c r="H3620" s="9">
        <v>40855</v>
      </c>
    </row>
    <row r="3621" spans="6:8">
      <c r="F3621">
        <v>49780</v>
      </c>
      <c r="G3621">
        <v>1402</v>
      </c>
      <c r="H3621" s="9">
        <v>40855</v>
      </c>
    </row>
    <row r="3622" spans="6:8">
      <c r="F3622">
        <v>49781</v>
      </c>
      <c r="G3622">
        <v>1402</v>
      </c>
      <c r="H3622" s="9">
        <v>40855</v>
      </c>
    </row>
    <row r="3623" spans="6:8">
      <c r="F3623">
        <v>49785</v>
      </c>
      <c r="G3623">
        <v>7969</v>
      </c>
      <c r="H3623" s="9">
        <v>40855</v>
      </c>
    </row>
    <row r="3624" spans="6:8">
      <c r="F3624">
        <v>49793</v>
      </c>
      <c r="G3624">
        <v>7974</v>
      </c>
      <c r="H3624" s="9">
        <v>40765</v>
      </c>
    </row>
    <row r="3625" spans="6:8">
      <c r="F3625">
        <v>49797</v>
      </c>
      <c r="G3625">
        <v>7978</v>
      </c>
      <c r="H3625" s="9">
        <v>40765</v>
      </c>
    </row>
    <row r="3626" spans="6:8">
      <c r="F3626">
        <v>49800</v>
      </c>
      <c r="G3626">
        <v>7981</v>
      </c>
      <c r="H3626" s="9">
        <v>40765</v>
      </c>
    </row>
    <row r="3627" spans="6:8">
      <c r="F3627">
        <v>49807</v>
      </c>
      <c r="G3627">
        <v>1233</v>
      </c>
      <c r="H3627" s="9">
        <v>40854</v>
      </c>
    </row>
    <row r="3628" spans="6:8">
      <c r="F3628">
        <v>49813</v>
      </c>
      <c r="G3628">
        <v>1496</v>
      </c>
      <c r="H3628" s="9">
        <v>40854</v>
      </c>
    </row>
    <row r="3629" spans="6:8">
      <c r="F3629">
        <v>49833</v>
      </c>
      <c r="G3629">
        <v>7982</v>
      </c>
      <c r="H3629" s="9">
        <v>40808</v>
      </c>
    </row>
    <row r="3630" spans="6:8">
      <c r="F3630">
        <v>49834</v>
      </c>
      <c r="G3630">
        <v>6580</v>
      </c>
      <c r="H3630" s="9">
        <v>40854</v>
      </c>
    </row>
    <row r="3631" spans="6:8">
      <c r="F3631">
        <v>49849</v>
      </c>
      <c r="G3631">
        <v>2449</v>
      </c>
      <c r="H3631" s="9">
        <v>40854</v>
      </c>
    </row>
    <row r="3632" spans="6:8">
      <c r="F3632">
        <v>49852</v>
      </c>
      <c r="G3632">
        <v>7976</v>
      </c>
      <c r="H3632" s="9">
        <v>40854</v>
      </c>
    </row>
    <row r="3633" spans="6:8">
      <c r="F3633">
        <v>49855</v>
      </c>
      <c r="G3633">
        <v>1891</v>
      </c>
      <c r="H3633" s="9">
        <v>40854</v>
      </c>
    </row>
    <row r="3634" spans="6:8">
      <c r="F3634">
        <v>49870</v>
      </c>
      <c r="G3634">
        <v>3779</v>
      </c>
      <c r="H3634" s="9">
        <v>40855</v>
      </c>
    </row>
    <row r="3635" spans="6:8">
      <c r="F3635">
        <v>49885</v>
      </c>
      <c r="G3635">
        <v>1011</v>
      </c>
      <c r="H3635" s="9">
        <v>40855</v>
      </c>
    </row>
    <row r="3636" spans="6:8">
      <c r="F3636">
        <v>49889</v>
      </c>
      <c r="G3636">
        <v>4069</v>
      </c>
      <c r="H3636" s="9">
        <v>40855</v>
      </c>
    </row>
    <row r="3637" spans="6:8">
      <c r="F3637">
        <v>49905</v>
      </c>
      <c r="G3637">
        <v>8002</v>
      </c>
      <c r="H3637" s="9">
        <v>40837</v>
      </c>
    </row>
    <row r="3638" spans="6:8">
      <c r="F3638">
        <v>49913</v>
      </c>
      <c r="G3638">
        <v>7994</v>
      </c>
      <c r="H3638" s="9">
        <v>40837</v>
      </c>
    </row>
    <row r="3639" spans="6:8">
      <c r="F3639">
        <v>49924</v>
      </c>
      <c r="G3639">
        <v>7107</v>
      </c>
      <c r="H3639" s="9">
        <v>40855</v>
      </c>
    </row>
    <row r="3640" spans="6:8">
      <c r="F3640">
        <v>49941</v>
      </c>
      <c r="G3640">
        <v>1831</v>
      </c>
      <c r="H3640" s="9">
        <v>40859</v>
      </c>
    </row>
    <row r="3641" spans="6:8">
      <c r="F3641">
        <v>49949</v>
      </c>
      <c r="G3641">
        <v>7752</v>
      </c>
      <c r="H3641" s="9">
        <v>40859</v>
      </c>
    </row>
    <row r="3642" spans="6:8">
      <c r="F3642">
        <v>49959</v>
      </c>
      <c r="G3642">
        <v>4591</v>
      </c>
      <c r="H3642" s="9">
        <v>40859</v>
      </c>
    </row>
    <row r="3643" spans="6:8">
      <c r="F3643">
        <v>49987</v>
      </c>
      <c r="G3643">
        <v>2205</v>
      </c>
      <c r="H3643" s="9">
        <v>40859</v>
      </c>
    </row>
    <row r="3644" spans="6:8">
      <c r="F3644">
        <v>49991</v>
      </c>
      <c r="G3644">
        <v>197</v>
      </c>
      <c r="H3644" s="9">
        <v>40859</v>
      </c>
    </row>
    <row r="3645" spans="6:8">
      <c r="F3645">
        <v>50002</v>
      </c>
      <c r="G3645">
        <v>7777</v>
      </c>
      <c r="H3645" s="9">
        <v>40859</v>
      </c>
    </row>
    <row r="3646" spans="6:8">
      <c r="F3646">
        <v>50009</v>
      </c>
      <c r="G3646">
        <v>5699</v>
      </c>
      <c r="H3646" s="9">
        <v>40859</v>
      </c>
    </row>
    <row r="3647" spans="6:8">
      <c r="F3647">
        <v>50017</v>
      </c>
      <c r="G3647">
        <v>8019</v>
      </c>
      <c r="H3647" s="9">
        <v>40862</v>
      </c>
    </row>
    <row r="3648" spans="6:8">
      <c r="F3648">
        <v>50020</v>
      </c>
      <c r="G3648">
        <v>8023</v>
      </c>
      <c r="H3648" s="9">
        <v>40862</v>
      </c>
    </row>
    <row r="3649" spans="6:8">
      <c r="F3649">
        <v>50048</v>
      </c>
      <c r="G3649">
        <v>6732</v>
      </c>
      <c r="H3649" s="9">
        <v>40862</v>
      </c>
    </row>
    <row r="3650" spans="6:8">
      <c r="F3650">
        <v>50057</v>
      </c>
      <c r="G3650">
        <v>6929</v>
      </c>
      <c r="H3650" s="9">
        <v>40862</v>
      </c>
    </row>
    <row r="3651" spans="6:8">
      <c r="F3651">
        <v>50058</v>
      </c>
      <c r="G3651">
        <v>6962</v>
      </c>
      <c r="H3651" s="9">
        <v>40862</v>
      </c>
    </row>
    <row r="3652" spans="6:8">
      <c r="F3652">
        <v>50089</v>
      </c>
      <c r="G3652">
        <v>1777</v>
      </c>
      <c r="H3652" s="9">
        <v>40865</v>
      </c>
    </row>
    <row r="3653" spans="6:8">
      <c r="F3653">
        <v>50090</v>
      </c>
      <c r="G3653">
        <v>2061</v>
      </c>
      <c r="H3653" s="9">
        <v>40865</v>
      </c>
    </row>
    <row r="3654" spans="6:8">
      <c r="F3654">
        <v>50105</v>
      </c>
      <c r="G3654">
        <v>2431</v>
      </c>
      <c r="H3654" s="9">
        <v>40866</v>
      </c>
    </row>
    <row r="3655" spans="6:8">
      <c r="F3655">
        <v>50171</v>
      </c>
      <c r="G3655">
        <v>1189</v>
      </c>
      <c r="H3655" s="9">
        <v>40866</v>
      </c>
    </row>
    <row r="3656" spans="6:8">
      <c r="F3656">
        <v>50189</v>
      </c>
      <c r="G3656">
        <v>7282</v>
      </c>
      <c r="H3656" s="9">
        <v>40866</v>
      </c>
    </row>
    <row r="3657" spans="6:8">
      <c r="F3657">
        <v>50197</v>
      </c>
      <c r="G3657">
        <v>4351</v>
      </c>
      <c r="H3657" s="9">
        <v>40866</v>
      </c>
    </row>
    <row r="3658" spans="6:8">
      <c r="F3658">
        <v>50198</v>
      </c>
      <c r="G3658">
        <v>7341</v>
      </c>
      <c r="H3658" s="9">
        <v>40866</v>
      </c>
    </row>
    <row r="3659" spans="6:8">
      <c r="F3659">
        <v>50200</v>
      </c>
      <c r="G3659">
        <v>7898</v>
      </c>
      <c r="H3659" s="9">
        <v>40866</v>
      </c>
    </row>
    <row r="3660" spans="6:8">
      <c r="F3660">
        <v>50207</v>
      </c>
      <c r="G3660">
        <v>455</v>
      </c>
      <c r="H3660" s="9">
        <v>40866</v>
      </c>
    </row>
    <row r="3661" spans="6:8">
      <c r="F3661">
        <v>50209</v>
      </c>
      <c r="G3661">
        <v>1752</v>
      </c>
      <c r="H3661" s="9">
        <v>40866</v>
      </c>
    </row>
    <row r="3662" spans="6:8">
      <c r="F3662">
        <v>50210</v>
      </c>
      <c r="G3662">
        <v>1752</v>
      </c>
      <c r="H3662" s="9">
        <v>40866</v>
      </c>
    </row>
    <row r="3663" spans="6:8">
      <c r="F3663">
        <v>50214</v>
      </c>
      <c r="G3663">
        <v>2776</v>
      </c>
      <c r="H3663" s="9">
        <v>40866</v>
      </c>
    </row>
    <row r="3664" spans="6:8">
      <c r="F3664">
        <v>50223</v>
      </c>
      <c r="G3664">
        <v>1741</v>
      </c>
      <c r="H3664" s="9">
        <v>40866</v>
      </c>
    </row>
    <row r="3665" spans="6:8">
      <c r="F3665">
        <v>50229</v>
      </c>
      <c r="G3665">
        <v>712</v>
      </c>
      <c r="H3665" s="9">
        <v>40868</v>
      </c>
    </row>
    <row r="3666" spans="6:8">
      <c r="F3666">
        <v>50237</v>
      </c>
      <c r="G3666">
        <v>769</v>
      </c>
      <c r="H3666" s="9">
        <v>40868</v>
      </c>
    </row>
    <row r="3667" spans="6:8">
      <c r="F3667">
        <v>50250</v>
      </c>
      <c r="G3667">
        <v>456</v>
      </c>
      <c r="H3667" s="9">
        <v>40868</v>
      </c>
    </row>
    <row r="3668" spans="6:8">
      <c r="F3668">
        <v>50264</v>
      </c>
      <c r="G3668">
        <v>4227</v>
      </c>
      <c r="H3668" s="9">
        <v>40870</v>
      </c>
    </row>
    <row r="3669" spans="6:8">
      <c r="F3669">
        <v>50267</v>
      </c>
      <c r="G3669">
        <v>4418</v>
      </c>
      <c r="H3669" s="9">
        <v>40870</v>
      </c>
    </row>
    <row r="3670" spans="6:8">
      <c r="F3670">
        <v>50271</v>
      </c>
      <c r="G3670">
        <v>4155</v>
      </c>
      <c r="H3670" s="9">
        <v>40871</v>
      </c>
    </row>
    <row r="3671" spans="6:8">
      <c r="F3671">
        <v>50272</v>
      </c>
      <c r="G3671">
        <v>6979</v>
      </c>
      <c r="H3671" s="9">
        <v>40871</v>
      </c>
    </row>
    <row r="3672" spans="6:8">
      <c r="F3672">
        <v>50275</v>
      </c>
      <c r="G3672">
        <v>5948</v>
      </c>
      <c r="H3672" s="9">
        <v>40871</v>
      </c>
    </row>
    <row r="3673" spans="6:8">
      <c r="F3673">
        <v>50276</v>
      </c>
      <c r="G3673">
        <v>5520</v>
      </c>
      <c r="H3673" s="9">
        <v>40871</v>
      </c>
    </row>
    <row r="3674" spans="6:8">
      <c r="F3674">
        <v>50277</v>
      </c>
      <c r="G3674">
        <v>2779</v>
      </c>
      <c r="H3674" s="9">
        <v>40871</v>
      </c>
    </row>
    <row r="3675" spans="6:8">
      <c r="F3675">
        <v>50292</v>
      </c>
      <c r="G3675">
        <v>906</v>
      </c>
      <c r="H3675" s="9">
        <v>40871</v>
      </c>
    </row>
    <row r="3676" spans="6:8">
      <c r="F3676">
        <v>50299</v>
      </c>
      <c r="G3676">
        <v>37</v>
      </c>
      <c r="H3676" s="9">
        <v>40871</v>
      </c>
    </row>
    <row r="3677" spans="6:8">
      <c r="F3677">
        <v>50305</v>
      </c>
      <c r="G3677">
        <v>1882</v>
      </c>
      <c r="H3677" s="9">
        <v>40871</v>
      </c>
    </row>
    <row r="3678" spans="6:8">
      <c r="F3678">
        <v>50308</v>
      </c>
      <c r="G3678">
        <v>2375</v>
      </c>
      <c r="H3678" s="9">
        <v>40871</v>
      </c>
    </row>
    <row r="3679" spans="6:8">
      <c r="F3679">
        <v>50312</v>
      </c>
      <c r="G3679">
        <v>3885</v>
      </c>
      <c r="H3679" s="9">
        <v>40871</v>
      </c>
    </row>
    <row r="3680" spans="6:8">
      <c r="F3680">
        <v>50318</v>
      </c>
      <c r="G3680">
        <v>607</v>
      </c>
      <c r="H3680" s="9">
        <v>40871</v>
      </c>
    </row>
    <row r="3681" spans="6:8">
      <c r="F3681">
        <v>50331</v>
      </c>
      <c r="G3681">
        <v>6921</v>
      </c>
      <c r="H3681" s="9">
        <v>40875</v>
      </c>
    </row>
    <row r="3682" spans="6:8">
      <c r="F3682">
        <v>50341</v>
      </c>
      <c r="G3682">
        <v>3475</v>
      </c>
      <c r="H3682" s="9">
        <v>40875</v>
      </c>
    </row>
    <row r="3683" spans="6:8">
      <c r="F3683">
        <v>50353</v>
      </c>
      <c r="G3683">
        <v>484</v>
      </c>
      <c r="H3683" s="9">
        <v>40875</v>
      </c>
    </row>
    <row r="3684" spans="6:8">
      <c r="F3684">
        <v>50360</v>
      </c>
      <c r="G3684">
        <v>6061</v>
      </c>
      <c r="H3684" s="9">
        <v>40875</v>
      </c>
    </row>
    <row r="3685" spans="6:8">
      <c r="F3685">
        <v>50362</v>
      </c>
      <c r="G3685">
        <v>2605</v>
      </c>
      <c r="H3685" s="9">
        <v>40875</v>
      </c>
    </row>
    <row r="3686" spans="6:8">
      <c r="F3686">
        <v>50369</v>
      </c>
      <c r="G3686">
        <v>477</v>
      </c>
      <c r="H3686" s="9">
        <v>40875</v>
      </c>
    </row>
    <row r="3687" spans="6:8">
      <c r="F3687">
        <v>50371</v>
      </c>
      <c r="G3687">
        <v>648</v>
      </c>
      <c r="H3687" s="9">
        <v>40875</v>
      </c>
    </row>
    <row r="3688" spans="6:8">
      <c r="F3688">
        <v>50372</v>
      </c>
      <c r="G3688">
        <v>2571</v>
      </c>
      <c r="H3688" s="9">
        <v>40875</v>
      </c>
    </row>
    <row r="3689" spans="6:8">
      <c r="F3689">
        <v>50393</v>
      </c>
      <c r="G3689">
        <v>3876</v>
      </c>
      <c r="H3689" s="9">
        <v>40876</v>
      </c>
    </row>
    <row r="3690" spans="6:8">
      <c r="F3690">
        <v>50394</v>
      </c>
      <c r="G3690">
        <v>2965</v>
      </c>
      <c r="H3690" s="9">
        <v>40876</v>
      </c>
    </row>
    <row r="3691" spans="6:8">
      <c r="F3691">
        <v>50426</v>
      </c>
      <c r="G3691">
        <v>2527</v>
      </c>
      <c r="H3691" s="9">
        <v>40876</v>
      </c>
    </row>
    <row r="3692" spans="6:8">
      <c r="F3692">
        <v>50430</v>
      </c>
      <c r="G3692">
        <v>6642</v>
      </c>
      <c r="H3692" s="9">
        <v>40876</v>
      </c>
    </row>
    <row r="3693" spans="6:8">
      <c r="F3693">
        <v>50441</v>
      </c>
      <c r="G3693">
        <v>2420</v>
      </c>
      <c r="H3693" s="9">
        <v>40877</v>
      </c>
    </row>
    <row r="3694" spans="6:8">
      <c r="F3694">
        <v>50444</v>
      </c>
      <c r="G3694">
        <v>1404</v>
      </c>
      <c r="H3694" s="9">
        <v>40877</v>
      </c>
    </row>
    <row r="3695" spans="6:8">
      <c r="F3695">
        <v>50452</v>
      </c>
      <c r="G3695">
        <v>7890</v>
      </c>
      <c r="H3695" s="9">
        <v>40878</v>
      </c>
    </row>
    <row r="3696" spans="6:8">
      <c r="F3696">
        <v>50461</v>
      </c>
      <c r="G3696">
        <v>5832</v>
      </c>
      <c r="H3696" s="9">
        <v>40878</v>
      </c>
    </row>
    <row r="3697" spans="6:8">
      <c r="F3697">
        <v>50468</v>
      </c>
      <c r="G3697">
        <v>5763</v>
      </c>
      <c r="H3697" s="9">
        <v>40878</v>
      </c>
    </row>
    <row r="3698" spans="6:8">
      <c r="F3698">
        <v>50473</v>
      </c>
      <c r="G3698">
        <v>5664</v>
      </c>
      <c r="H3698" s="9">
        <v>40878</v>
      </c>
    </row>
    <row r="3699" spans="6:8">
      <c r="F3699">
        <v>50486</v>
      </c>
      <c r="G3699">
        <v>3540</v>
      </c>
      <c r="H3699" s="9">
        <v>40878</v>
      </c>
    </row>
    <row r="3700" spans="6:8">
      <c r="F3700">
        <v>50488</v>
      </c>
      <c r="G3700">
        <v>6238</v>
      </c>
      <c r="H3700" s="9">
        <v>40878</v>
      </c>
    </row>
    <row r="3701" spans="6:8">
      <c r="F3701">
        <v>50491</v>
      </c>
      <c r="G3701">
        <v>6306</v>
      </c>
      <c r="H3701" s="9">
        <v>40878</v>
      </c>
    </row>
    <row r="3702" spans="6:8">
      <c r="F3702">
        <v>50515</v>
      </c>
      <c r="G3702">
        <v>7707</v>
      </c>
      <c r="H3702" s="9">
        <v>40878</v>
      </c>
    </row>
    <row r="3703" spans="6:8">
      <c r="F3703">
        <v>50543</v>
      </c>
      <c r="G3703">
        <v>7321</v>
      </c>
      <c r="H3703" s="9">
        <v>40878</v>
      </c>
    </row>
    <row r="3704" spans="6:8">
      <c r="F3704">
        <v>50549</v>
      </c>
      <c r="G3704">
        <v>4279</v>
      </c>
      <c r="H3704" s="9">
        <v>40878</v>
      </c>
    </row>
    <row r="3705" spans="6:8">
      <c r="F3705">
        <v>50556</v>
      </c>
      <c r="G3705">
        <v>1334</v>
      </c>
      <c r="H3705" s="9">
        <v>40878</v>
      </c>
    </row>
    <row r="3706" spans="6:8">
      <c r="F3706">
        <v>50561</v>
      </c>
      <c r="G3706">
        <v>606</v>
      </c>
      <c r="H3706" s="9">
        <v>40878</v>
      </c>
    </row>
    <row r="3707" spans="6:8">
      <c r="F3707">
        <v>50585</v>
      </c>
      <c r="G3707">
        <v>3152</v>
      </c>
      <c r="H3707" s="9">
        <v>40880</v>
      </c>
    </row>
    <row r="3708" spans="6:8">
      <c r="F3708">
        <v>50586</v>
      </c>
      <c r="G3708">
        <v>2743</v>
      </c>
      <c r="H3708" s="9">
        <v>40880</v>
      </c>
    </row>
    <row r="3709" spans="6:8">
      <c r="F3709">
        <v>50595</v>
      </c>
      <c r="G3709">
        <v>6950</v>
      </c>
      <c r="H3709" s="9">
        <v>40882</v>
      </c>
    </row>
    <row r="3710" spans="6:8">
      <c r="F3710">
        <v>50610</v>
      </c>
      <c r="G3710">
        <v>407</v>
      </c>
      <c r="H3710" s="9">
        <v>40882</v>
      </c>
    </row>
    <row r="3711" spans="6:8">
      <c r="F3711">
        <v>50612</v>
      </c>
      <c r="G3711">
        <v>613</v>
      </c>
      <c r="H3711" s="9">
        <v>40882</v>
      </c>
    </row>
    <row r="3712" spans="6:8">
      <c r="F3712">
        <v>50613</v>
      </c>
      <c r="G3712">
        <v>613</v>
      </c>
      <c r="H3712" s="9">
        <v>40882</v>
      </c>
    </row>
    <row r="3713" spans="6:8">
      <c r="F3713">
        <v>50618</v>
      </c>
      <c r="G3713">
        <v>3214</v>
      </c>
      <c r="H3713" s="9">
        <v>40882</v>
      </c>
    </row>
    <row r="3714" spans="6:8">
      <c r="F3714">
        <v>50620</v>
      </c>
      <c r="G3714">
        <v>7879</v>
      </c>
      <c r="H3714" s="9">
        <v>40882</v>
      </c>
    </row>
    <row r="3715" spans="6:8">
      <c r="F3715">
        <v>50626</v>
      </c>
      <c r="G3715">
        <v>4516</v>
      </c>
      <c r="H3715" s="9">
        <v>40882</v>
      </c>
    </row>
    <row r="3716" spans="6:8">
      <c r="F3716">
        <v>50627</v>
      </c>
      <c r="G3716">
        <v>1922</v>
      </c>
      <c r="H3716" s="9">
        <v>40882</v>
      </c>
    </row>
    <row r="3717" spans="6:8">
      <c r="F3717">
        <v>50633</v>
      </c>
      <c r="G3717">
        <v>5619</v>
      </c>
      <c r="H3717" s="9">
        <v>40883</v>
      </c>
    </row>
    <row r="3718" spans="6:8">
      <c r="F3718">
        <v>50641</v>
      </c>
      <c r="G3718">
        <v>4589</v>
      </c>
      <c r="H3718" s="9">
        <v>40884</v>
      </c>
    </row>
    <row r="3719" spans="6:8">
      <c r="F3719">
        <v>50652</v>
      </c>
      <c r="G3719">
        <v>1723</v>
      </c>
      <c r="H3719" s="9">
        <v>40884</v>
      </c>
    </row>
    <row r="3720" spans="6:8">
      <c r="F3720">
        <v>50660</v>
      </c>
      <c r="G3720">
        <v>3761</v>
      </c>
      <c r="H3720" s="9">
        <v>40884</v>
      </c>
    </row>
    <row r="3721" spans="6:8">
      <c r="F3721">
        <v>50669</v>
      </c>
      <c r="G3721">
        <v>6701</v>
      </c>
      <c r="H3721" s="9">
        <v>40884</v>
      </c>
    </row>
    <row r="3722" spans="6:8">
      <c r="F3722">
        <v>50684</v>
      </c>
      <c r="G3722">
        <v>5528</v>
      </c>
      <c r="H3722" s="9">
        <v>40884</v>
      </c>
    </row>
    <row r="3723" spans="6:8">
      <c r="F3723">
        <v>50696</v>
      </c>
      <c r="G3723">
        <v>739</v>
      </c>
      <c r="H3723" s="9">
        <v>40884</v>
      </c>
    </row>
    <row r="3724" spans="6:8">
      <c r="F3724">
        <v>50702</v>
      </c>
      <c r="G3724">
        <v>5616</v>
      </c>
      <c r="H3724" s="9">
        <v>40884</v>
      </c>
    </row>
    <row r="3725" spans="6:8">
      <c r="F3725">
        <v>50709</v>
      </c>
      <c r="G3725">
        <v>6538</v>
      </c>
      <c r="H3725" s="9">
        <v>40884</v>
      </c>
    </row>
    <row r="3726" spans="6:8">
      <c r="F3726">
        <v>50725</v>
      </c>
      <c r="G3726">
        <v>5442</v>
      </c>
      <c r="H3726" s="9">
        <v>40887</v>
      </c>
    </row>
    <row r="3727" spans="6:8">
      <c r="F3727">
        <v>50726</v>
      </c>
      <c r="G3727">
        <v>7566</v>
      </c>
      <c r="H3727" s="9">
        <v>40887</v>
      </c>
    </row>
    <row r="3728" spans="6:8">
      <c r="F3728">
        <v>50745</v>
      </c>
      <c r="G3728">
        <v>2621</v>
      </c>
      <c r="H3728" s="9">
        <v>40889</v>
      </c>
    </row>
    <row r="3729" spans="6:8">
      <c r="F3729">
        <v>50751</v>
      </c>
      <c r="G3729">
        <v>136</v>
      </c>
      <c r="H3729" s="9">
        <v>40889</v>
      </c>
    </row>
    <row r="3730" spans="6:8">
      <c r="F3730">
        <v>50755</v>
      </c>
      <c r="G3730">
        <v>1366</v>
      </c>
      <c r="H3730" s="9">
        <v>40889</v>
      </c>
    </row>
    <row r="3731" spans="6:8">
      <c r="F3731">
        <v>50767</v>
      </c>
      <c r="G3731">
        <v>591</v>
      </c>
      <c r="H3731" s="9">
        <v>40889</v>
      </c>
    </row>
    <row r="3732" spans="6:8">
      <c r="F3732">
        <v>50802</v>
      </c>
      <c r="G3732">
        <v>672</v>
      </c>
      <c r="H3732" s="9">
        <v>40889</v>
      </c>
    </row>
    <row r="3733" spans="6:8">
      <c r="F3733">
        <v>50823</v>
      </c>
      <c r="G3733">
        <v>8027</v>
      </c>
      <c r="H3733" s="9">
        <v>40893</v>
      </c>
    </row>
    <row r="3734" spans="6:8">
      <c r="F3734">
        <v>50824</v>
      </c>
      <c r="G3734">
        <v>8028</v>
      </c>
      <c r="H3734" s="9">
        <v>40893</v>
      </c>
    </row>
    <row r="3735" spans="6:8">
      <c r="F3735">
        <v>50825</v>
      </c>
      <c r="G3735">
        <v>8029</v>
      </c>
      <c r="H3735" s="9">
        <v>40893</v>
      </c>
    </row>
    <row r="3736" spans="6:8">
      <c r="F3736">
        <v>50827</v>
      </c>
      <c r="G3736">
        <v>8031</v>
      </c>
      <c r="H3736" s="9">
        <v>40893</v>
      </c>
    </row>
    <row r="3737" spans="6:8">
      <c r="F3737">
        <v>50828</v>
      </c>
      <c r="G3737">
        <v>8032</v>
      </c>
      <c r="H3737" s="9">
        <v>40893</v>
      </c>
    </row>
    <row r="3738" spans="6:8">
      <c r="F3738">
        <v>50830</v>
      </c>
      <c r="G3738">
        <v>8034</v>
      </c>
      <c r="H3738" s="9">
        <v>40893</v>
      </c>
    </row>
    <row r="3739" spans="6:8">
      <c r="F3739">
        <v>50834</v>
      </c>
      <c r="G3739">
        <v>7133</v>
      </c>
      <c r="H3739" s="9">
        <v>40890</v>
      </c>
    </row>
    <row r="3740" spans="6:8">
      <c r="F3740">
        <v>50858</v>
      </c>
      <c r="G3740">
        <v>2924</v>
      </c>
      <c r="H3740" s="9">
        <v>40894</v>
      </c>
    </row>
    <row r="3741" spans="6:8">
      <c r="F3741">
        <v>50877</v>
      </c>
      <c r="G3741">
        <v>468</v>
      </c>
      <c r="H3741" s="9">
        <v>40896</v>
      </c>
    </row>
    <row r="3742" spans="6:8">
      <c r="F3742">
        <v>50878</v>
      </c>
      <c r="G3742">
        <v>481</v>
      </c>
      <c r="H3742" s="9">
        <v>40896</v>
      </c>
    </row>
    <row r="3743" spans="6:8">
      <c r="F3743">
        <v>50916</v>
      </c>
      <c r="G3743">
        <v>1467</v>
      </c>
      <c r="H3743" s="9">
        <v>40896</v>
      </c>
    </row>
    <row r="3744" spans="6:8">
      <c r="F3744">
        <v>50956</v>
      </c>
      <c r="G3744">
        <v>2414</v>
      </c>
      <c r="H3744" s="9">
        <v>40897</v>
      </c>
    </row>
    <row r="3745" spans="6:8">
      <c r="F3745">
        <v>50979</v>
      </c>
      <c r="G3745">
        <v>4830</v>
      </c>
      <c r="H3745" s="9">
        <v>40897</v>
      </c>
    </row>
    <row r="3746" spans="6:8">
      <c r="F3746">
        <v>50980</v>
      </c>
      <c r="G3746">
        <v>5403</v>
      </c>
      <c r="H3746" s="9">
        <v>40897</v>
      </c>
    </row>
    <row r="3747" spans="6:8">
      <c r="F3747">
        <v>51016</v>
      </c>
      <c r="G3747">
        <v>7274</v>
      </c>
      <c r="H3747" s="9">
        <v>40899</v>
      </c>
    </row>
    <row r="3748" spans="6:8">
      <c r="F3748">
        <v>51017</v>
      </c>
      <c r="G3748">
        <v>667</v>
      </c>
      <c r="H3748" s="9">
        <v>40899</v>
      </c>
    </row>
    <row r="3749" spans="6:8">
      <c r="F3749">
        <v>51033</v>
      </c>
      <c r="G3749">
        <v>6495</v>
      </c>
      <c r="H3749" s="9">
        <v>40899</v>
      </c>
    </row>
    <row r="3750" spans="6:8">
      <c r="F3750">
        <v>51036</v>
      </c>
      <c r="G3750">
        <v>7429</v>
      </c>
      <c r="H3750" s="9">
        <v>40899</v>
      </c>
    </row>
    <row r="3751" spans="6:8">
      <c r="F3751">
        <v>51038</v>
      </c>
      <c r="G3751">
        <v>2453</v>
      </c>
      <c r="H3751" s="9">
        <v>40899</v>
      </c>
    </row>
    <row r="3752" spans="6:8">
      <c r="F3752">
        <v>51041</v>
      </c>
      <c r="G3752">
        <v>2408</v>
      </c>
      <c r="H3752" s="9">
        <v>40899</v>
      </c>
    </row>
    <row r="3753" spans="6:8">
      <c r="F3753">
        <v>51050</v>
      </c>
      <c r="G3753">
        <v>875</v>
      </c>
      <c r="H3753" s="9">
        <v>40900</v>
      </c>
    </row>
    <row r="3754" spans="6:8">
      <c r="F3754">
        <v>51068</v>
      </c>
      <c r="G3754">
        <v>4523</v>
      </c>
      <c r="H3754" s="9">
        <v>40900</v>
      </c>
    </row>
    <row r="3755" spans="6:8">
      <c r="F3755">
        <v>51069</v>
      </c>
      <c r="G3755">
        <v>2127</v>
      </c>
      <c r="H3755" s="9">
        <v>40900</v>
      </c>
    </row>
    <row r="3756" spans="6:8">
      <c r="F3756">
        <v>51072</v>
      </c>
      <c r="G3756">
        <v>8039</v>
      </c>
      <c r="H3756" s="9">
        <v>40900</v>
      </c>
    </row>
    <row r="3757" spans="6:8">
      <c r="F3757">
        <v>51074</v>
      </c>
      <c r="G3757">
        <v>5387</v>
      </c>
      <c r="H3757" s="9">
        <v>40900</v>
      </c>
    </row>
    <row r="3758" spans="6:8">
      <c r="F3758">
        <v>51078</v>
      </c>
      <c r="G3758">
        <v>7233</v>
      </c>
      <c r="H3758" s="9">
        <v>40900</v>
      </c>
    </row>
    <row r="3759" spans="6:8">
      <c r="F3759">
        <v>51080</v>
      </c>
      <c r="G3759">
        <v>6444</v>
      </c>
      <c r="H3759" s="9">
        <v>40900</v>
      </c>
    </row>
    <row r="3760" spans="6:8">
      <c r="F3760">
        <v>51089</v>
      </c>
      <c r="G3760">
        <v>426</v>
      </c>
      <c r="H3760" s="9">
        <v>40900</v>
      </c>
    </row>
    <row r="3761" spans="6:8">
      <c r="F3761">
        <v>51094</v>
      </c>
      <c r="G3761">
        <v>8042</v>
      </c>
      <c r="H3761" s="9">
        <v>40900</v>
      </c>
    </row>
    <row r="3762" spans="6:8">
      <c r="F3762">
        <v>51107</v>
      </c>
      <c r="G3762">
        <v>1758</v>
      </c>
      <c r="H3762" s="9">
        <v>40904</v>
      </c>
    </row>
    <row r="3763" spans="6:8">
      <c r="F3763">
        <v>51125</v>
      </c>
      <c r="G3763">
        <v>2877</v>
      </c>
      <c r="H3763" s="9">
        <v>40904</v>
      </c>
    </row>
    <row r="3764" spans="6:8">
      <c r="F3764">
        <v>51126</v>
      </c>
      <c r="G3764">
        <v>3400</v>
      </c>
      <c r="H3764" s="9">
        <v>40904</v>
      </c>
    </row>
    <row r="3765" spans="6:8">
      <c r="F3765">
        <v>51134</v>
      </c>
      <c r="G3765">
        <v>5106</v>
      </c>
      <c r="H3765" s="9">
        <v>40904</v>
      </c>
    </row>
    <row r="3766" spans="6:8">
      <c r="F3766">
        <v>51135</v>
      </c>
      <c r="G3766">
        <v>6858</v>
      </c>
      <c r="H3766" s="9">
        <v>40904</v>
      </c>
    </row>
    <row r="3767" spans="6:8">
      <c r="F3767">
        <v>51142</v>
      </c>
      <c r="G3767">
        <v>2468</v>
      </c>
      <c r="H3767" s="9">
        <v>40904</v>
      </c>
    </row>
    <row r="3768" spans="6:8">
      <c r="F3768">
        <v>51143</v>
      </c>
      <c r="G3768">
        <v>7554</v>
      </c>
      <c r="H3768" s="9">
        <v>40904</v>
      </c>
    </row>
    <row r="3769" spans="6:8">
      <c r="F3769">
        <v>51153</v>
      </c>
      <c r="G3769">
        <v>4342</v>
      </c>
      <c r="H3769" s="9">
        <v>40904</v>
      </c>
    </row>
    <row r="3770" spans="6:8">
      <c r="F3770">
        <v>51180</v>
      </c>
      <c r="G3770">
        <v>504</v>
      </c>
      <c r="H3770" s="9">
        <v>40907</v>
      </c>
    </row>
    <row r="3771" spans="6:8">
      <c r="F3771">
        <v>51186</v>
      </c>
      <c r="G3771">
        <v>2158</v>
      </c>
      <c r="H3771" s="9">
        <v>40907</v>
      </c>
    </row>
    <row r="3772" spans="6:8">
      <c r="F3772">
        <v>51187</v>
      </c>
      <c r="G3772">
        <v>1812</v>
      </c>
      <c r="H3772" s="9">
        <v>40907</v>
      </c>
    </row>
    <row r="3773" spans="6:8">
      <c r="F3773">
        <v>51193</v>
      </c>
      <c r="G3773">
        <v>7269</v>
      </c>
      <c r="H3773" s="9">
        <v>40907</v>
      </c>
    </row>
    <row r="3774" spans="6:8">
      <c r="F3774">
        <v>51197</v>
      </c>
      <c r="G3774">
        <v>2032</v>
      </c>
      <c r="H3774" s="9">
        <v>40907</v>
      </c>
    </row>
    <row r="3775" spans="6:8">
      <c r="F3775">
        <v>51200</v>
      </c>
      <c r="G3775">
        <v>4957</v>
      </c>
      <c r="H3775" s="9">
        <v>40907</v>
      </c>
    </row>
    <row r="3776" spans="6:8">
      <c r="F3776">
        <v>51223</v>
      </c>
      <c r="G3776">
        <v>5986</v>
      </c>
      <c r="H3776" s="9">
        <v>40907</v>
      </c>
    </row>
    <row r="3777" spans="6:8">
      <c r="F3777">
        <v>51241</v>
      </c>
      <c r="G3777">
        <v>7773</v>
      </c>
      <c r="H3777" s="9">
        <v>40907</v>
      </c>
    </row>
    <row r="3778" spans="6:8">
      <c r="F3778">
        <v>51242</v>
      </c>
      <c r="G3778">
        <v>7643</v>
      </c>
      <c r="H3778" s="9">
        <v>40907</v>
      </c>
    </row>
    <row r="3779" spans="6:8">
      <c r="F3779">
        <v>51243</v>
      </c>
      <c r="G3779">
        <v>7265</v>
      </c>
      <c r="H3779" s="9">
        <v>40907</v>
      </c>
    </row>
    <row r="3780" spans="6:8">
      <c r="F3780">
        <v>51253</v>
      </c>
      <c r="G3780">
        <v>8043</v>
      </c>
      <c r="H3780" s="9">
        <v>40911</v>
      </c>
    </row>
    <row r="3781" spans="6:8">
      <c r="F3781">
        <v>51257</v>
      </c>
      <c r="G3781">
        <v>1477</v>
      </c>
      <c r="H3781" s="9">
        <v>40911</v>
      </c>
    </row>
    <row r="3782" spans="6:8">
      <c r="F3782">
        <v>51263</v>
      </c>
      <c r="G3782">
        <v>4255</v>
      </c>
      <c r="H3782" s="9">
        <v>40911</v>
      </c>
    </row>
    <row r="3783" spans="6:8">
      <c r="F3783">
        <v>51269</v>
      </c>
      <c r="G3783">
        <v>7657</v>
      </c>
      <c r="H3783" s="9">
        <v>40912</v>
      </c>
    </row>
    <row r="3784" spans="6:8">
      <c r="F3784">
        <v>51286</v>
      </c>
      <c r="G3784">
        <v>1825</v>
      </c>
      <c r="H3784" s="9">
        <v>40912</v>
      </c>
    </row>
    <row r="3785" spans="6:8">
      <c r="F3785">
        <v>51308</v>
      </c>
      <c r="G3785">
        <v>5432</v>
      </c>
      <c r="H3785" s="9">
        <v>40913</v>
      </c>
    </row>
    <row r="3786" spans="6:8">
      <c r="F3786">
        <v>51313</v>
      </c>
      <c r="G3786">
        <v>2544</v>
      </c>
      <c r="H3786" s="9">
        <v>40913</v>
      </c>
    </row>
    <row r="3787" spans="6:8">
      <c r="F3787">
        <v>51330</v>
      </c>
      <c r="G3787">
        <v>7230</v>
      </c>
      <c r="H3787" s="9">
        <v>40913</v>
      </c>
    </row>
    <row r="3788" spans="6:8">
      <c r="F3788">
        <v>51348</v>
      </c>
      <c r="G3788">
        <v>7229</v>
      </c>
      <c r="H3788" s="9">
        <v>40913</v>
      </c>
    </row>
    <row r="3789" spans="6:8">
      <c r="F3789">
        <v>51359</v>
      </c>
      <c r="G3789">
        <v>1125</v>
      </c>
      <c r="H3789" s="9">
        <v>40913</v>
      </c>
    </row>
    <row r="3790" spans="6:8">
      <c r="F3790">
        <v>51363</v>
      </c>
      <c r="G3790">
        <v>5284</v>
      </c>
      <c r="H3790" s="9">
        <v>40913</v>
      </c>
    </row>
    <row r="3791" spans="6:8">
      <c r="F3791">
        <v>51375</v>
      </c>
      <c r="G3791">
        <v>1513</v>
      </c>
      <c r="H3791" s="9">
        <v>40913</v>
      </c>
    </row>
    <row r="3792" spans="6:8">
      <c r="F3792">
        <v>51377</v>
      </c>
      <c r="G3792">
        <v>2022</v>
      </c>
      <c r="H3792" s="9">
        <v>40913</v>
      </c>
    </row>
    <row r="3793" spans="6:8">
      <c r="F3793">
        <v>51383</v>
      </c>
      <c r="G3793">
        <v>7258</v>
      </c>
      <c r="H3793" s="9">
        <v>40913</v>
      </c>
    </row>
    <row r="3794" spans="6:8">
      <c r="F3794">
        <v>51386</v>
      </c>
      <c r="G3794">
        <v>7383</v>
      </c>
      <c r="H3794" s="9">
        <v>40913</v>
      </c>
    </row>
    <row r="3795" spans="6:8">
      <c r="F3795">
        <v>51387</v>
      </c>
      <c r="G3795">
        <v>2445</v>
      </c>
      <c r="H3795" s="9">
        <v>40913</v>
      </c>
    </row>
    <row r="3796" spans="6:8">
      <c r="F3796">
        <v>51412</v>
      </c>
      <c r="G3796">
        <v>1413</v>
      </c>
      <c r="H3796" s="9">
        <v>40913</v>
      </c>
    </row>
    <row r="3797" spans="6:8">
      <c r="F3797">
        <v>51450</v>
      </c>
      <c r="G3797">
        <v>6470</v>
      </c>
      <c r="H3797" s="9">
        <v>40919</v>
      </c>
    </row>
    <row r="3798" spans="6:8">
      <c r="F3798">
        <v>51463</v>
      </c>
      <c r="G3798">
        <v>5896</v>
      </c>
      <c r="H3798" s="9">
        <v>40919</v>
      </c>
    </row>
    <row r="3799" spans="6:8">
      <c r="F3799">
        <v>51494</v>
      </c>
      <c r="G3799">
        <v>3045</v>
      </c>
      <c r="H3799" s="9">
        <v>40919</v>
      </c>
    </row>
    <row r="3800" spans="6:8">
      <c r="F3800">
        <v>51496</v>
      </c>
      <c r="G3800">
        <v>7272</v>
      </c>
      <c r="H3800" s="9">
        <v>40919</v>
      </c>
    </row>
    <row r="3801" spans="6:8">
      <c r="F3801">
        <v>51512</v>
      </c>
      <c r="G3801">
        <v>8055</v>
      </c>
      <c r="H3801" s="9">
        <v>40933</v>
      </c>
    </row>
    <row r="3802" spans="6:8">
      <c r="F3802">
        <v>51518</v>
      </c>
      <c r="G3802">
        <v>3958</v>
      </c>
      <c r="H3802" s="9">
        <v>40931</v>
      </c>
    </row>
    <row r="3803" spans="6:8">
      <c r="F3803">
        <v>51523</v>
      </c>
      <c r="G3803">
        <v>7581</v>
      </c>
      <c r="H3803" s="9">
        <v>40931</v>
      </c>
    </row>
    <row r="3804" spans="6:8">
      <c r="F3804">
        <v>51526</v>
      </c>
      <c r="G3804">
        <v>3781</v>
      </c>
      <c r="H3804" s="9">
        <v>40931</v>
      </c>
    </row>
    <row r="3805" spans="6:8">
      <c r="F3805">
        <v>51541</v>
      </c>
      <c r="G3805">
        <v>3954</v>
      </c>
      <c r="H3805" s="9">
        <v>40920</v>
      </c>
    </row>
    <row r="3806" spans="6:8">
      <c r="F3806">
        <v>51545</v>
      </c>
      <c r="G3806">
        <v>4482</v>
      </c>
      <c r="H3806" s="9">
        <v>40920</v>
      </c>
    </row>
    <row r="3807" spans="6:8">
      <c r="F3807">
        <v>51546</v>
      </c>
      <c r="G3807">
        <v>6294</v>
      </c>
      <c r="H3807" s="9">
        <v>40920</v>
      </c>
    </row>
    <row r="3808" spans="6:8">
      <c r="F3808">
        <v>51547</v>
      </c>
      <c r="G3808">
        <v>3190</v>
      </c>
      <c r="H3808" s="9">
        <v>40920</v>
      </c>
    </row>
    <row r="3809" spans="6:8">
      <c r="F3809">
        <v>51551</v>
      </c>
      <c r="G3809">
        <v>4537</v>
      </c>
      <c r="H3809" s="9">
        <v>40920</v>
      </c>
    </row>
    <row r="3810" spans="6:8">
      <c r="F3810">
        <v>51558</v>
      </c>
      <c r="G3810">
        <v>7135</v>
      </c>
      <c r="H3810" s="9">
        <v>40920</v>
      </c>
    </row>
    <row r="3811" spans="6:8">
      <c r="F3811">
        <v>51563</v>
      </c>
      <c r="G3811">
        <v>3786</v>
      </c>
      <c r="H3811" s="9">
        <v>40920</v>
      </c>
    </row>
    <row r="3812" spans="6:8">
      <c r="F3812">
        <v>51575</v>
      </c>
      <c r="G3812">
        <v>489</v>
      </c>
      <c r="H3812" s="9">
        <v>40921</v>
      </c>
    </row>
    <row r="3813" spans="6:8">
      <c r="F3813">
        <v>51576</v>
      </c>
      <c r="G3813">
        <v>4270</v>
      </c>
      <c r="H3813" s="9">
        <v>40921</v>
      </c>
    </row>
    <row r="3814" spans="6:8">
      <c r="F3814">
        <v>51582</v>
      </c>
      <c r="G3814">
        <v>6144</v>
      </c>
      <c r="H3814" s="9">
        <v>40921</v>
      </c>
    </row>
    <row r="3815" spans="6:8">
      <c r="F3815">
        <v>51583</v>
      </c>
      <c r="G3815">
        <v>2626</v>
      </c>
      <c r="H3815" s="9">
        <v>40921</v>
      </c>
    </row>
    <row r="3816" spans="6:8">
      <c r="F3816">
        <v>51586</v>
      </c>
      <c r="G3816">
        <v>7283</v>
      </c>
      <c r="H3816" s="9">
        <v>40921</v>
      </c>
    </row>
    <row r="3817" spans="6:8">
      <c r="F3817">
        <v>51587</v>
      </c>
      <c r="G3817">
        <v>7283</v>
      </c>
      <c r="H3817" s="9">
        <v>40921</v>
      </c>
    </row>
    <row r="3818" spans="6:8">
      <c r="F3818">
        <v>51600</v>
      </c>
      <c r="G3818">
        <v>6989</v>
      </c>
      <c r="H3818" s="9">
        <v>40921</v>
      </c>
    </row>
    <row r="3819" spans="6:8">
      <c r="F3819">
        <v>51604</v>
      </c>
      <c r="G3819">
        <v>2610</v>
      </c>
      <c r="H3819" s="9">
        <v>40921</v>
      </c>
    </row>
    <row r="3820" spans="6:8">
      <c r="F3820">
        <v>51612</v>
      </c>
      <c r="G3820">
        <v>6944</v>
      </c>
      <c r="H3820" s="9">
        <v>40921</v>
      </c>
    </row>
    <row r="3821" spans="6:8">
      <c r="F3821">
        <v>51613</v>
      </c>
      <c r="G3821">
        <v>3043</v>
      </c>
      <c r="H3821" s="9">
        <v>40921</v>
      </c>
    </row>
    <row r="3822" spans="6:8">
      <c r="F3822">
        <v>51627</v>
      </c>
      <c r="G3822">
        <v>7284</v>
      </c>
      <c r="H3822" s="9">
        <v>40921</v>
      </c>
    </row>
    <row r="3823" spans="6:8">
      <c r="F3823">
        <v>51635</v>
      </c>
      <c r="G3823">
        <v>6453</v>
      </c>
      <c r="H3823" s="9">
        <v>40924</v>
      </c>
    </row>
    <row r="3824" spans="6:8">
      <c r="F3824">
        <v>51637</v>
      </c>
      <c r="G3824">
        <v>1286</v>
      </c>
      <c r="H3824" s="9">
        <v>40924</v>
      </c>
    </row>
    <row r="3825" spans="6:8">
      <c r="F3825">
        <v>51638</v>
      </c>
      <c r="G3825">
        <v>2647</v>
      </c>
      <c r="H3825" s="9">
        <v>40924</v>
      </c>
    </row>
    <row r="3826" spans="6:8">
      <c r="F3826">
        <v>51643</v>
      </c>
      <c r="G3826">
        <v>2937</v>
      </c>
      <c r="H3826" s="9">
        <v>40924</v>
      </c>
    </row>
    <row r="3827" spans="6:8">
      <c r="F3827">
        <v>51653</v>
      </c>
      <c r="G3827">
        <v>1102</v>
      </c>
      <c r="H3827" s="9">
        <v>40952</v>
      </c>
    </row>
    <row r="3828" spans="6:8">
      <c r="F3828">
        <v>51655</v>
      </c>
      <c r="G3828">
        <v>5570</v>
      </c>
      <c r="H3828" s="9">
        <v>40953</v>
      </c>
    </row>
    <row r="3829" spans="6:8">
      <c r="F3829">
        <v>51674</v>
      </c>
      <c r="G3829">
        <v>2913</v>
      </c>
      <c r="H3829" s="9">
        <v>40945</v>
      </c>
    </row>
    <row r="3830" spans="6:8">
      <c r="F3830">
        <v>51682</v>
      </c>
      <c r="G3830">
        <v>2073</v>
      </c>
      <c r="H3830" s="9">
        <v>40945</v>
      </c>
    </row>
    <row r="3831" spans="6:8">
      <c r="F3831">
        <v>51700</v>
      </c>
      <c r="G3831">
        <v>2904</v>
      </c>
      <c r="H3831" s="9">
        <v>40947</v>
      </c>
    </row>
    <row r="3832" spans="6:8">
      <c r="F3832">
        <v>51708</v>
      </c>
      <c r="G3832">
        <v>3473</v>
      </c>
      <c r="H3832" s="9">
        <v>40947</v>
      </c>
    </row>
    <row r="3833" spans="6:8">
      <c r="F3833">
        <v>51712</v>
      </c>
      <c r="G3833">
        <v>4467</v>
      </c>
      <c r="H3833" s="9">
        <v>40947</v>
      </c>
    </row>
    <row r="3834" spans="6:8">
      <c r="F3834">
        <v>51718</v>
      </c>
      <c r="G3834">
        <v>428</v>
      </c>
      <c r="H3834" s="9">
        <v>40947</v>
      </c>
    </row>
    <row r="3835" spans="6:8">
      <c r="F3835">
        <v>51727</v>
      </c>
      <c r="G3835">
        <v>2922</v>
      </c>
      <c r="H3835" s="9">
        <v>40947</v>
      </c>
    </row>
    <row r="3836" spans="6:8">
      <c r="F3836">
        <v>51729</v>
      </c>
      <c r="G3836">
        <v>6850</v>
      </c>
      <c r="H3836" s="9">
        <v>40947</v>
      </c>
    </row>
    <row r="3837" spans="6:8">
      <c r="F3837">
        <v>51734</v>
      </c>
      <c r="G3837">
        <v>7187</v>
      </c>
      <c r="H3837" s="9">
        <v>40949</v>
      </c>
    </row>
    <row r="3838" spans="6:8">
      <c r="F3838">
        <v>51737</v>
      </c>
      <c r="G3838">
        <v>1177</v>
      </c>
      <c r="H3838" s="9">
        <v>40949</v>
      </c>
    </row>
    <row r="3839" spans="6:8">
      <c r="F3839">
        <v>51739</v>
      </c>
      <c r="G3839">
        <v>1140</v>
      </c>
      <c r="H3839" s="9">
        <v>40949</v>
      </c>
    </row>
    <row r="3840" spans="6:8">
      <c r="F3840">
        <v>51747</v>
      </c>
      <c r="G3840">
        <v>5307</v>
      </c>
      <c r="H3840" s="9">
        <v>40949</v>
      </c>
    </row>
    <row r="3841" spans="6:8">
      <c r="F3841">
        <v>51748</v>
      </c>
      <c r="G3841">
        <v>3372</v>
      </c>
      <c r="H3841" s="9">
        <v>40949</v>
      </c>
    </row>
    <row r="3842" spans="6:8">
      <c r="F3842">
        <v>51754</v>
      </c>
      <c r="G3842">
        <v>7558</v>
      </c>
      <c r="H3842" s="9">
        <v>40953</v>
      </c>
    </row>
    <row r="3843" spans="6:8">
      <c r="F3843">
        <v>51760</v>
      </c>
      <c r="G3843">
        <v>825</v>
      </c>
      <c r="H3843" s="9">
        <v>40953</v>
      </c>
    </row>
    <row r="3844" spans="6:8">
      <c r="F3844">
        <v>51771</v>
      </c>
      <c r="G3844">
        <v>4172</v>
      </c>
      <c r="H3844" s="9">
        <v>40953</v>
      </c>
    </row>
    <row r="3845" spans="6:8">
      <c r="F3845">
        <v>51776</v>
      </c>
      <c r="G3845">
        <v>1349</v>
      </c>
      <c r="H3845" s="9">
        <v>40939</v>
      </c>
    </row>
    <row r="3846" spans="6:8">
      <c r="F3846">
        <v>51781</v>
      </c>
      <c r="G3846">
        <v>2235</v>
      </c>
      <c r="H3846" s="9">
        <v>40939</v>
      </c>
    </row>
    <row r="3847" spans="6:8">
      <c r="F3847">
        <v>51787</v>
      </c>
      <c r="G3847">
        <v>2467</v>
      </c>
      <c r="H3847" s="9">
        <v>40939</v>
      </c>
    </row>
    <row r="3848" spans="6:8">
      <c r="F3848">
        <v>51790</v>
      </c>
      <c r="G3848">
        <v>5576</v>
      </c>
      <c r="H3848" s="9">
        <v>40939</v>
      </c>
    </row>
    <row r="3849" spans="6:8">
      <c r="F3849">
        <v>51791</v>
      </c>
      <c r="G3849">
        <v>7844</v>
      </c>
      <c r="H3849" s="9">
        <v>40939</v>
      </c>
    </row>
    <row r="3850" spans="6:8">
      <c r="F3850">
        <v>51793</v>
      </c>
      <c r="G3850">
        <v>3777</v>
      </c>
      <c r="H3850" s="9">
        <v>40939</v>
      </c>
    </row>
    <row r="3851" spans="6:8">
      <c r="F3851">
        <v>51795</v>
      </c>
      <c r="G3851">
        <v>7674</v>
      </c>
      <c r="H3851" s="9">
        <v>40939</v>
      </c>
    </row>
    <row r="3852" spans="6:8">
      <c r="F3852">
        <v>51798</v>
      </c>
      <c r="G3852">
        <v>7204</v>
      </c>
      <c r="H3852" s="9">
        <v>40939</v>
      </c>
    </row>
    <row r="3853" spans="6:8">
      <c r="F3853">
        <v>51806</v>
      </c>
      <c r="G3853">
        <v>2482</v>
      </c>
      <c r="H3853" s="9">
        <v>40939</v>
      </c>
    </row>
    <row r="3854" spans="6:8">
      <c r="F3854">
        <v>51810</v>
      </c>
      <c r="G3854">
        <v>7881</v>
      </c>
      <c r="H3854" s="9">
        <v>40939</v>
      </c>
    </row>
    <row r="3855" spans="6:8">
      <c r="F3855">
        <v>51815</v>
      </c>
      <c r="G3855">
        <v>2734</v>
      </c>
      <c r="H3855" s="9">
        <v>40939</v>
      </c>
    </row>
    <row r="3856" spans="6:8">
      <c r="F3856">
        <v>51820</v>
      </c>
      <c r="G3856">
        <v>2681</v>
      </c>
      <c r="H3856" s="9">
        <v>40939</v>
      </c>
    </row>
    <row r="3857" spans="6:8">
      <c r="F3857">
        <v>51833</v>
      </c>
      <c r="G3857">
        <v>1607</v>
      </c>
      <c r="H3857" s="9">
        <v>40939</v>
      </c>
    </row>
    <row r="3858" spans="6:8">
      <c r="F3858">
        <v>51834</v>
      </c>
      <c r="G3858">
        <v>7231</v>
      </c>
      <c r="H3858" s="9">
        <v>40939</v>
      </c>
    </row>
    <row r="3859" spans="6:8">
      <c r="F3859">
        <v>51837</v>
      </c>
      <c r="G3859">
        <v>5892</v>
      </c>
      <c r="H3859" s="9">
        <v>40939</v>
      </c>
    </row>
    <row r="3860" spans="6:8">
      <c r="F3860">
        <v>51843</v>
      </c>
      <c r="G3860">
        <v>646</v>
      </c>
      <c r="H3860" s="9">
        <v>40939</v>
      </c>
    </row>
    <row r="3861" spans="6:8">
      <c r="F3861">
        <v>51855</v>
      </c>
      <c r="G3861">
        <v>2633</v>
      </c>
      <c r="H3861" s="9">
        <v>40938</v>
      </c>
    </row>
    <row r="3862" spans="6:8">
      <c r="F3862">
        <v>51868</v>
      </c>
      <c r="G3862">
        <v>5985</v>
      </c>
      <c r="H3862" s="9">
        <v>40935</v>
      </c>
    </row>
    <row r="3863" spans="6:8">
      <c r="F3863">
        <v>51875</v>
      </c>
      <c r="G3863">
        <v>3392</v>
      </c>
      <c r="H3863" s="9">
        <v>40935</v>
      </c>
    </row>
    <row r="3864" spans="6:8">
      <c r="F3864">
        <v>51879</v>
      </c>
      <c r="G3864">
        <v>3749</v>
      </c>
      <c r="H3864" s="9">
        <v>40935</v>
      </c>
    </row>
    <row r="3865" spans="6:8">
      <c r="F3865">
        <v>51886</v>
      </c>
      <c r="G3865">
        <v>3115</v>
      </c>
      <c r="H3865" s="9">
        <v>40933</v>
      </c>
    </row>
    <row r="3866" spans="6:8">
      <c r="F3866">
        <v>51896</v>
      </c>
      <c r="G3866">
        <v>6820</v>
      </c>
      <c r="H3866" s="9">
        <v>40933</v>
      </c>
    </row>
    <row r="3867" spans="6:8">
      <c r="F3867">
        <v>51906</v>
      </c>
      <c r="G3867">
        <v>271</v>
      </c>
      <c r="H3867" s="9">
        <v>40933</v>
      </c>
    </row>
    <row r="3868" spans="6:8">
      <c r="F3868">
        <v>51911</v>
      </c>
      <c r="G3868">
        <v>105</v>
      </c>
      <c r="H3868" s="9">
        <v>40933</v>
      </c>
    </row>
    <row r="3869" spans="6:8">
      <c r="F3869">
        <v>51912</v>
      </c>
      <c r="G3869">
        <v>2911</v>
      </c>
      <c r="H3869" s="9">
        <v>40933</v>
      </c>
    </row>
    <row r="3870" spans="6:8">
      <c r="F3870">
        <v>51917</v>
      </c>
      <c r="G3870">
        <v>4347</v>
      </c>
      <c r="H3870" s="9">
        <v>40933</v>
      </c>
    </row>
    <row r="3871" spans="6:8">
      <c r="F3871">
        <v>51932</v>
      </c>
      <c r="G3871">
        <v>276</v>
      </c>
      <c r="H3871" s="9">
        <v>40933</v>
      </c>
    </row>
    <row r="3872" spans="6:8">
      <c r="F3872">
        <v>51943</v>
      </c>
      <c r="G3872">
        <v>2906</v>
      </c>
      <c r="H3872" s="9">
        <v>40932</v>
      </c>
    </row>
    <row r="3873" spans="6:8">
      <c r="F3873">
        <v>51964</v>
      </c>
      <c r="G3873">
        <v>3873</v>
      </c>
      <c r="H3873" s="9">
        <v>40932</v>
      </c>
    </row>
    <row r="3874" spans="6:8">
      <c r="F3874">
        <v>51989</v>
      </c>
      <c r="G3874">
        <v>3079</v>
      </c>
      <c r="H3874" s="9">
        <v>40940</v>
      </c>
    </row>
    <row r="3875" spans="6:8">
      <c r="F3875">
        <v>51996</v>
      </c>
      <c r="G3875">
        <v>2934</v>
      </c>
      <c r="H3875" s="9">
        <v>40941</v>
      </c>
    </row>
    <row r="3876" spans="6:8">
      <c r="F3876">
        <v>52024</v>
      </c>
      <c r="G3876">
        <v>1764</v>
      </c>
      <c r="H3876" s="9">
        <v>40932</v>
      </c>
    </row>
    <row r="3877" spans="6:8">
      <c r="F3877">
        <v>52027</v>
      </c>
      <c r="G3877">
        <v>2040</v>
      </c>
      <c r="H3877" s="9">
        <v>40932</v>
      </c>
    </row>
    <row r="3878" spans="6:8">
      <c r="F3878">
        <v>52029</v>
      </c>
      <c r="G3878">
        <v>4822</v>
      </c>
      <c r="H3878" s="9">
        <v>40932</v>
      </c>
    </row>
    <row r="3879" spans="6:8">
      <c r="F3879">
        <v>52046</v>
      </c>
      <c r="G3879">
        <v>603</v>
      </c>
      <c r="H3879" s="9">
        <v>40926</v>
      </c>
    </row>
    <row r="3880" spans="6:8">
      <c r="F3880">
        <v>52048</v>
      </c>
      <c r="G3880">
        <v>1317</v>
      </c>
      <c r="H3880" s="9">
        <v>40926</v>
      </c>
    </row>
    <row r="3881" spans="6:8">
      <c r="F3881">
        <v>52072</v>
      </c>
      <c r="G3881">
        <v>1655</v>
      </c>
      <c r="H3881" s="9">
        <v>40925</v>
      </c>
    </row>
    <row r="3882" spans="6:8">
      <c r="F3882">
        <v>52076</v>
      </c>
      <c r="G3882">
        <v>1648</v>
      </c>
      <c r="H3882" s="9">
        <v>40925</v>
      </c>
    </row>
    <row r="3883" spans="6:8">
      <c r="F3883">
        <v>52104</v>
      </c>
      <c r="G3883">
        <v>1959</v>
      </c>
      <c r="H3883" s="9">
        <v>40925</v>
      </c>
    </row>
    <row r="3884" spans="6:8">
      <c r="F3884">
        <v>52128</v>
      </c>
      <c r="G3884">
        <v>1969</v>
      </c>
      <c r="H3884" s="9">
        <v>40955</v>
      </c>
    </row>
    <row r="3885" spans="6:8">
      <c r="F3885">
        <v>52154</v>
      </c>
      <c r="G3885">
        <v>93</v>
      </c>
      <c r="H3885" s="9">
        <v>40933</v>
      </c>
    </row>
    <row r="3886" spans="6:8">
      <c r="F3886">
        <v>52174</v>
      </c>
      <c r="G3886">
        <v>2042</v>
      </c>
      <c r="H3886" s="9">
        <v>40933</v>
      </c>
    </row>
    <row r="3887" spans="6:8">
      <c r="F3887">
        <v>52192</v>
      </c>
      <c r="G3887">
        <v>240</v>
      </c>
      <c r="H3887" s="9">
        <v>40924</v>
      </c>
    </row>
    <row r="3888" spans="6:8">
      <c r="F3888">
        <v>52194</v>
      </c>
      <c r="G3888">
        <v>3413</v>
      </c>
      <c r="H3888" s="9">
        <v>40924</v>
      </c>
    </row>
    <row r="3889" spans="6:8">
      <c r="F3889">
        <v>52197</v>
      </c>
      <c r="G3889">
        <v>2363</v>
      </c>
      <c r="H3889" s="9">
        <v>40924</v>
      </c>
    </row>
    <row r="3890" spans="6:8">
      <c r="F3890">
        <v>52198</v>
      </c>
      <c r="G3890">
        <v>2435</v>
      </c>
      <c r="H3890" s="9">
        <v>40924</v>
      </c>
    </row>
    <row r="3891" spans="6:8">
      <c r="F3891">
        <v>52222</v>
      </c>
      <c r="G3891">
        <v>1400</v>
      </c>
      <c r="H3891" s="9">
        <v>40925</v>
      </c>
    </row>
    <row r="3892" spans="6:8">
      <c r="F3892">
        <v>52223</v>
      </c>
      <c r="G3892">
        <v>909</v>
      </c>
      <c r="H3892" s="9">
        <v>40925</v>
      </c>
    </row>
    <row r="3893" spans="6:8">
      <c r="F3893">
        <v>52232</v>
      </c>
      <c r="G3893">
        <v>6628</v>
      </c>
      <c r="H3893" s="9">
        <v>40926</v>
      </c>
    </row>
    <row r="3894" spans="6:8">
      <c r="F3894">
        <v>52237</v>
      </c>
      <c r="G3894">
        <v>1783</v>
      </c>
      <c r="H3894" s="9">
        <v>40926</v>
      </c>
    </row>
    <row r="3895" spans="6:8">
      <c r="F3895">
        <v>52238</v>
      </c>
      <c r="G3895">
        <v>1783</v>
      </c>
      <c r="H3895" s="9">
        <v>40926</v>
      </c>
    </row>
    <row r="3896" spans="6:8">
      <c r="F3896">
        <v>52241</v>
      </c>
      <c r="G3896">
        <v>597</v>
      </c>
      <c r="H3896" s="9">
        <v>40927</v>
      </c>
    </row>
    <row r="3897" spans="6:8">
      <c r="F3897">
        <v>52250</v>
      </c>
      <c r="G3897">
        <v>3457</v>
      </c>
      <c r="H3897" s="9">
        <v>40927</v>
      </c>
    </row>
    <row r="3898" spans="6:8">
      <c r="F3898">
        <v>52287</v>
      </c>
      <c r="G3898">
        <v>7704</v>
      </c>
      <c r="H3898" s="9">
        <v>40931</v>
      </c>
    </row>
    <row r="3899" spans="6:8">
      <c r="F3899">
        <v>52288</v>
      </c>
      <c r="G3899">
        <v>4018</v>
      </c>
      <c r="H3899" s="9">
        <v>40931</v>
      </c>
    </row>
    <row r="3900" spans="6:8">
      <c r="F3900">
        <v>52313</v>
      </c>
      <c r="G3900">
        <v>2189</v>
      </c>
      <c r="H3900" s="9">
        <v>40927</v>
      </c>
    </row>
    <row r="3901" spans="6:8">
      <c r="F3901">
        <v>52334</v>
      </c>
      <c r="G3901">
        <v>6997</v>
      </c>
      <c r="H3901" s="9">
        <v>40940</v>
      </c>
    </row>
    <row r="3902" spans="6:8">
      <c r="F3902">
        <v>52342</v>
      </c>
      <c r="G3902">
        <v>1225</v>
      </c>
      <c r="H3902" s="9">
        <v>40941</v>
      </c>
    </row>
    <row r="3903" spans="6:8">
      <c r="F3903">
        <v>52369</v>
      </c>
      <c r="G3903">
        <v>7323</v>
      </c>
      <c r="H3903" s="9">
        <v>40945</v>
      </c>
    </row>
    <row r="3904" spans="6:8">
      <c r="F3904">
        <v>52407</v>
      </c>
      <c r="G3904">
        <v>2260</v>
      </c>
      <c r="H3904" s="9">
        <v>40953</v>
      </c>
    </row>
    <row r="3905" spans="6:8">
      <c r="F3905">
        <v>52427</v>
      </c>
      <c r="G3905">
        <v>394</v>
      </c>
      <c r="H3905" s="9">
        <v>40953</v>
      </c>
    </row>
    <row r="3906" spans="6:8">
      <c r="F3906">
        <v>52445</v>
      </c>
      <c r="G3906">
        <v>1770</v>
      </c>
      <c r="H3906" s="9">
        <v>40954</v>
      </c>
    </row>
    <row r="3907" spans="6:8">
      <c r="F3907">
        <v>52447</v>
      </c>
      <c r="G3907">
        <v>7434</v>
      </c>
      <c r="H3907" s="9">
        <v>40954</v>
      </c>
    </row>
    <row r="3908" spans="6:8">
      <c r="F3908">
        <v>52468</v>
      </c>
      <c r="G3908">
        <v>7999</v>
      </c>
      <c r="H3908" s="9">
        <v>40954</v>
      </c>
    </row>
    <row r="3909" spans="6:8">
      <c r="F3909">
        <v>52481</v>
      </c>
      <c r="G3909">
        <v>177</v>
      </c>
      <c r="H3909" s="9">
        <v>40959</v>
      </c>
    </row>
    <row r="3910" spans="6:8">
      <c r="F3910">
        <v>52495</v>
      </c>
      <c r="G3910">
        <v>1556</v>
      </c>
      <c r="H3910" s="9">
        <v>40959</v>
      </c>
    </row>
    <row r="3911" spans="6:8">
      <c r="F3911">
        <v>52499</v>
      </c>
      <c r="G3911">
        <v>1234</v>
      </c>
      <c r="H3911" s="9">
        <v>40959</v>
      </c>
    </row>
    <row r="3912" spans="6:8">
      <c r="F3912">
        <v>52500</v>
      </c>
      <c r="G3912">
        <v>175</v>
      </c>
      <c r="H3912" s="9">
        <v>40959</v>
      </c>
    </row>
    <row r="3913" spans="6:8">
      <c r="F3913">
        <v>52506</v>
      </c>
      <c r="G3913">
        <v>8113</v>
      </c>
      <c r="H3913" s="9">
        <v>40960</v>
      </c>
    </row>
    <row r="3914" spans="6:8">
      <c r="F3914">
        <v>52508</v>
      </c>
      <c r="G3914">
        <v>8111</v>
      </c>
      <c r="H3914" s="9">
        <v>40960</v>
      </c>
    </row>
    <row r="3915" spans="6:8">
      <c r="F3915">
        <v>52511</v>
      </c>
      <c r="G3915">
        <v>5254</v>
      </c>
      <c r="H3915" s="9">
        <v>40952</v>
      </c>
    </row>
    <row r="3916" spans="6:8">
      <c r="F3916">
        <v>52514</v>
      </c>
      <c r="G3916">
        <v>7906</v>
      </c>
      <c r="H3916" s="9">
        <v>40961</v>
      </c>
    </row>
    <row r="3917" spans="6:8">
      <c r="F3917">
        <v>52525</v>
      </c>
      <c r="G3917">
        <v>7158</v>
      </c>
      <c r="H3917" s="9">
        <v>40953</v>
      </c>
    </row>
    <row r="3918" spans="6:8">
      <c r="F3918">
        <v>52527</v>
      </c>
      <c r="G3918">
        <v>4293</v>
      </c>
      <c r="H3918" s="9">
        <v>40953</v>
      </c>
    </row>
    <row r="3919" spans="6:8">
      <c r="F3919">
        <v>52529</v>
      </c>
      <c r="G3919">
        <v>4713</v>
      </c>
      <c r="H3919" s="9">
        <v>40953</v>
      </c>
    </row>
    <row r="3920" spans="6:8">
      <c r="F3920">
        <v>52535</v>
      </c>
      <c r="G3920">
        <v>7594</v>
      </c>
      <c r="H3920" s="9">
        <v>40953</v>
      </c>
    </row>
    <row r="3921" spans="6:8">
      <c r="F3921">
        <v>52543</v>
      </c>
      <c r="G3921">
        <v>3166</v>
      </c>
      <c r="H3921" s="9">
        <v>40953</v>
      </c>
    </row>
    <row r="3922" spans="6:8">
      <c r="F3922">
        <v>52545</v>
      </c>
      <c r="G3922">
        <v>7093</v>
      </c>
      <c r="H3922" s="9">
        <v>40953</v>
      </c>
    </row>
    <row r="3923" spans="6:8">
      <c r="F3923">
        <v>52547</v>
      </c>
      <c r="G3923">
        <v>6876</v>
      </c>
      <c r="H3923" s="9">
        <v>40954</v>
      </c>
    </row>
    <row r="3924" spans="6:8">
      <c r="F3924">
        <v>52548</v>
      </c>
      <c r="G3924">
        <v>6089</v>
      </c>
      <c r="H3924" s="9">
        <v>40954</v>
      </c>
    </row>
    <row r="3925" spans="6:8">
      <c r="F3925">
        <v>52549</v>
      </c>
      <c r="G3925">
        <v>6907</v>
      </c>
      <c r="H3925" s="9">
        <v>40954</v>
      </c>
    </row>
    <row r="3926" spans="6:8">
      <c r="F3926">
        <v>52551</v>
      </c>
      <c r="G3926">
        <v>3722</v>
      </c>
      <c r="H3926" s="9">
        <v>40955</v>
      </c>
    </row>
    <row r="3927" spans="6:8">
      <c r="F3927">
        <v>52552</v>
      </c>
      <c r="G3927">
        <v>7660</v>
      </c>
      <c r="H3927" s="9">
        <v>40955</v>
      </c>
    </row>
    <row r="3928" spans="6:8">
      <c r="F3928">
        <v>52568</v>
      </c>
      <c r="G3928">
        <v>784</v>
      </c>
      <c r="H3928" s="9">
        <v>40953</v>
      </c>
    </row>
    <row r="3929" spans="6:8">
      <c r="F3929">
        <v>52579</v>
      </c>
      <c r="G3929">
        <v>4801</v>
      </c>
      <c r="H3929" s="9">
        <v>40954</v>
      </c>
    </row>
    <row r="3930" spans="6:8">
      <c r="F3930">
        <v>52580</v>
      </c>
      <c r="G3930">
        <v>7872</v>
      </c>
      <c r="H3930" s="9">
        <v>40954</v>
      </c>
    </row>
    <row r="3931" spans="6:8">
      <c r="F3931">
        <v>52584</v>
      </c>
      <c r="G3931">
        <v>450</v>
      </c>
      <c r="H3931" s="9">
        <v>40954</v>
      </c>
    </row>
    <row r="3932" spans="6:8">
      <c r="F3932">
        <v>52590</v>
      </c>
      <c r="G3932">
        <v>5871</v>
      </c>
      <c r="H3932" s="9">
        <v>40954</v>
      </c>
    </row>
    <row r="3933" spans="6:8">
      <c r="F3933">
        <v>52609</v>
      </c>
      <c r="G3933">
        <v>3157</v>
      </c>
      <c r="H3933" s="9">
        <v>40966</v>
      </c>
    </row>
    <row r="3934" spans="6:8">
      <c r="F3934">
        <v>52611</v>
      </c>
      <c r="G3934">
        <v>4028</v>
      </c>
      <c r="H3934" s="9">
        <v>40966</v>
      </c>
    </row>
    <row r="3935" spans="6:8">
      <c r="F3935">
        <v>52612</v>
      </c>
      <c r="G3935">
        <v>3489</v>
      </c>
      <c r="H3935" s="9">
        <v>40966</v>
      </c>
    </row>
    <row r="3936" spans="6:8">
      <c r="F3936">
        <v>52613</v>
      </c>
      <c r="G3936">
        <v>7951</v>
      </c>
      <c r="H3936" s="9">
        <v>40966</v>
      </c>
    </row>
    <row r="3937" spans="6:8">
      <c r="F3937">
        <v>52628</v>
      </c>
      <c r="G3937">
        <v>5609</v>
      </c>
      <c r="H3937" s="9">
        <v>40955</v>
      </c>
    </row>
    <row r="3938" spans="6:8">
      <c r="F3938">
        <v>52641</v>
      </c>
      <c r="G3938">
        <v>4132</v>
      </c>
      <c r="H3938" s="9">
        <v>40956</v>
      </c>
    </row>
    <row r="3939" spans="6:8">
      <c r="F3939">
        <v>52642</v>
      </c>
      <c r="G3939">
        <v>3034</v>
      </c>
      <c r="H3939" s="9">
        <v>40956</v>
      </c>
    </row>
    <row r="3940" spans="6:8">
      <c r="F3940">
        <v>52648</v>
      </c>
      <c r="G3940">
        <v>1815</v>
      </c>
      <c r="H3940" s="9">
        <v>40967</v>
      </c>
    </row>
    <row r="3941" spans="6:8">
      <c r="F3941">
        <v>52668</v>
      </c>
      <c r="G3941">
        <v>4788</v>
      </c>
      <c r="H3941" s="9">
        <v>40959</v>
      </c>
    </row>
    <row r="3942" spans="6:8">
      <c r="F3942">
        <v>52685</v>
      </c>
      <c r="G3942">
        <v>6006</v>
      </c>
      <c r="H3942" s="9">
        <v>40959</v>
      </c>
    </row>
    <row r="3943" spans="6:8">
      <c r="F3943">
        <v>52689</v>
      </c>
      <c r="G3943">
        <v>7610</v>
      </c>
      <c r="H3943" s="9">
        <v>40959</v>
      </c>
    </row>
    <row r="3944" spans="6:8">
      <c r="F3944">
        <v>52690</v>
      </c>
      <c r="G3944">
        <v>7610</v>
      </c>
      <c r="H3944" s="9">
        <v>40959</v>
      </c>
    </row>
    <row r="3945" spans="6:8">
      <c r="F3945">
        <v>52694</v>
      </c>
      <c r="G3945">
        <v>4345</v>
      </c>
      <c r="H3945" s="9">
        <v>40961</v>
      </c>
    </row>
    <row r="3946" spans="6:8">
      <c r="F3946">
        <v>52700</v>
      </c>
      <c r="G3946">
        <v>7894</v>
      </c>
      <c r="H3946" s="9">
        <v>40961</v>
      </c>
    </row>
    <row r="3947" spans="6:8">
      <c r="F3947">
        <v>52701</v>
      </c>
      <c r="G3947">
        <v>7687</v>
      </c>
      <c r="H3947" s="9">
        <v>40961</v>
      </c>
    </row>
    <row r="3948" spans="6:8">
      <c r="F3948">
        <v>52705</v>
      </c>
      <c r="G3948">
        <v>7871</v>
      </c>
      <c r="H3948" s="9">
        <v>40961</v>
      </c>
    </row>
    <row r="3949" spans="6:8">
      <c r="F3949">
        <v>52709</v>
      </c>
      <c r="G3949">
        <v>7720</v>
      </c>
      <c r="H3949" s="9">
        <v>40961</v>
      </c>
    </row>
    <row r="3950" spans="6:8">
      <c r="F3950">
        <v>52711</v>
      </c>
      <c r="G3950">
        <v>7675</v>
      </c>
      <c r="H3950" s="9">
        <v>40961</v>
      </c>
    </row>
    <row r="3951" spans="6:8">
      <c r="F3951">
        <v>52728</v>
      </c>
      <c r="G3951">
        <v>2039</v>
      </c>
      <c r="H3951" s="9">
        <v>40962</v>
      </c>
    </row>
    <row r="3952" spans="6:8">
      <c r="F3952">
        <v>52743</v>
      </c>
      <c r="G3952">
        <v>741</v>
      </c>
      <c r="H3952" s="9">
        <v>40963</v>
      </c>
    </row>
    <row r="3953" spans="6:8">
      <c r="F3953">
        <v>52752</v>
      </c>
      <c r="G3953">
        <v>3466</v>
      </c>
      <c r="H3953" s="9">
        <v>40963</v>
      </c>
    </row>
    <row r="3954" spans="6:8">
      <c r="F3954">
        <v>52777</v>
      </c>
      <c r="G3954">
        <v>395</v>
      </c>
      <c r="H3954" s="9">
        <v>40963</v>
      </c>
    </row>
    <row r="3955" spans="6:8">
      <c r="F3955">
        <v>52793</v>
      </c>
      <c r="G3955">
        <v>345</v>
      </c>
      <c r="H3955" s="9">
        <v>40966</v>
      </c>
    </row>
    <row r="3956" spans="6:8">
      <c r="F3956">
        <v>52796</v>
      </c>
      <c r="G3956">
        <v>3408</v>
      </c>
      <c r="H3956" s="9">
        <v>40966</v>
      </c>
    </row>
    <row r="3957" spans="6:8">
      <c r="F3957">
        <v>52798</v>
      </c>
      <c r="G3957">
        <v>18</v>
      </c>
      <c r="H3957" s="9">
        <v>40966</v>
      </c>
    </row>
    <row r="3958" spans="6:8">
      <c r="F3958">
        <v>52822</v>
      </c>
      <c r="G3958">
        <v>1667</v>
      </c>
      <c r="H3958" s="9">
        <v>40966</v>
      </c>
    </row>
    <row r="3959" spans="6:8">
      <c r="F3959">
        <v>52823</v>
      </c>
      <c r="G3959">
        <v>7110</v>
      </c>
      <c r="H3959" s="9">
        <v>40966</v>
      </c>
    </row>
    <row r="3960" spans="6:8">
      <c r="F3960">
        <v>52825</v>
      </c>
      <c r="G3960">
        <v>6643</v>
      </c>
      <c r="H3960" s="9">
        <v>40966</v>
      </c>
    </row>
    <row r="3961" spans="6:8">
      <c r="F3961">
        <v>52826</v>
      </c>
      <c r="G3961">
        <v>3076</v>
      </c>
      <c r="H3961" s="9">
        <v>40966</v>
      </c>
    </row>
    <row r="3962" spans="6:8">
      <c r="F3962">
        <v>52842</v>
      </c>
      <c r="G3962">
        <v>1639</v>
      </c>
      <c r="H3962" s="9">
        <v>40968</v>
      </c>
    </row>
    <row r="3963" spans="6:8">
      <c r="F3963">
        <v>52870</v>
      </c>
      <c r="G3963">
        <v>480</v>
      </c>
      <c r="H3963" s="9">
        <v>40968</v>
      </c>
    </row>
    <row r="3964" spans="6:8">
      <c r="F3964">
        <v>52879</v>
      </c>
      <c r="G3964">
        <v>4403</v>
      </c>
      <c r="H3964" s="9">
        <v>40968</v>
      </c>
    </row>
    <row r="3965" spans="6:8">
      <c r="F3965">
        <v>52888</v>
      </c>
      <c r="G3965">
        <v>5285</v>
      </c>
      <c r="H3965" s="9">
        <v>40969</v>
      </c>
    </row>
    <row r="3966" spans="6:8">
      <c r="F3966">
        <v>52889</v>
      </c>
      <c r="G3966">
        <v>4410</v>
      </c>
      <c r="H3966" s="9">
        <v>40969</v>
      </c>
    </row>
    <row r="3967" spans="6:8">
      <c r="F3967">
        <v>52891</v>
      </c>
      <c r="G3967">
        <v>6545</v>
      </c>
      <c r="H3967" s="9">
        <v>40972</v>
      </c>
    </row>
    <row r="3968" spans="6:8">
      <c r="F3968">
        <v>52892</v>
      </c>
      <c r="G3968">
        <v>5343</v>
      </c>
      <c r="H3968" s="9">
        <v>40972</v>
      </c>
    </row>
    <row r="3969" spans="6:8">
      <c r="F3969">
        <v>52904</v>
      </c>
      <c r="G3969">
        <v>463</v>
      </c>
      <c r="H3969" s="9">
        <v>40972</v>
      </c>
    </row>
    <row r="3970" spans="6:8">
      <c r="F3970">
        <v>52909</v>
      </c>
      <c r="G3970">
        <v>2462</v>
      </c>
      <c r="H3970" s="9">
        <v>40969</v>
      </c>
    </row>
    <row r="3971" spans="6:8">
      <c r="F3971">
        <v>52910</v>
      </c>
      <c r="G3971">
        <v>2764</v>
      </c>
      <c r="H3971" s="9">
        <v>40969</v>
      </c>
    </row>
    <row r="3972" spans="6:8">
      <c r="F3972">
        <v>52914</v>
      </c>
      <c r="G3972">
        <v>4766</v>
      </c>
      <c r="H3972" s="9">
        <v>40969</v>
      </c>
    </row>
    <row r="3973" spans="6:8">
      <c r="F3973">
        <v>52918</v>
      </c>
      <c r="G3973">
        <v>2813</v>
      </c>
      <c r="H3973" s="9">
        <v>40969</v>
      </c>
    </row>
    <row r="3974" spans="6:8">
      <c r="F3974">
        <v>52919</v>
      </c>
      <c r="G3974">
        <v>2868</v>
      </c>
      <c r="H3974" s="9">
        <v>40968</v>
      </c>
    </row>
    <row r="3975" spans="6:8">
      <c r="F3975">
        <v>52927</v>
      </c>
      <c r="G3975">
        <v>1996</v>
      </c>
      <c r="H3975" s="9">
        <v>40968</v>
      </c>
    </row>
    <row r="3976" spans="6:8">
      <c r="F3976">
        <v>52943</v>
      </c>
      <c r="G3976">
        <v>7524</v>
      </c>
      <c r="H3976" s="9">
        <v>40973</v>
      </c>
    </row>
    <row r="3977" spans="6:8">
      <c r="F3977">
        <v>52944</v>
      </c>
      <c r="G3977">
        <v>3978</v>
      </c>
      <c r="H3977" s="9">
        <v>40974</v>
      </c>
    </row>
    <row r="3978" spans="6:8">
      <c r="F3978">
        <v>52950</v>
      </c>
      <c r="G3978">
        <v>4111</v>
      </c>
      <c r="H3978" s="9">
        <v>40974</v>
      </c>
    </row>
    <row r="3979" spans="6:8">
      <c r="F3979">
        <v>53007</v>
      </c>
      <c r="G3979">
        <v>1854</v>
      </c>
      <c r="H3979" s="9">
        <v>40972</v>
      </c>
    </row>
    <row r="3980" spans="6:8">
      <c r="F3980">
        <v>53013</v>
      </c>
      <c r="G3980">
        <v>1087</v>
      </c>
      <c r="H3980" s="9">
        <v>40972</v>
      </c>
    </row>
    <row r="3981" spans="6:8">
      <c r="F3981">
        <v>53015</v>
      </c>
      <c r="G3981">
        <v>1926</v>
      </c>
      <c r="H3981" s="9">
        <v>40972</v>
      </c>
    </row>
    <row r="3982" spans="6:8">
      <c r="F3982">
        <v>53016</v>
      </c>
      <c r="G3982">
        <v>7072</v>
      </c>
      <c r="H3982" s="9">
        <v>40972</v>
      </c>
    </row>
    <row r="3983" spans="6:8">
      <c r="F3983">
        <v>53022</v>
      </c>
      <c r="G3983">
        <v>4541</v>
      </c>
      <c r="H3983" s="9">
        <v>40975</v>
      </c>
    </row>
    <row r="3984" spans="6:8">
      <c r="F3984">
        <v>53028</v>
      </c>
      <c r="G3984">
        <v>1536</v>
      </c>
      <c r="H3984" s="9">
        <v>40975</v>
      </c>
    </row>
    <row r="3985" spans="6:8">
      <c r="F3985">
        <v>53029</v>
      </c>
      <c r="G3985">
        <v>5477</v>
      </c>
      <c r="H3985" s="9">
        <v>40975</v>
      </c>
    </row>
    <row r="3986" spans="6:8">
      <c r="F3986">
        <v>53040</v>
      </c>
      <c r="G3986">
        <v>4175</v>
      </c>
      <c r="H3986" s="9">
        <v>40975</v>
      </c>
    </row>
    <row r="3987" spans="6:8">
      <c r="F3987">
        <v>53041</v>
      </c>
      <c r="G3987">
        <v>985</v>
      </c>
      <c r="H3987" s="9">
        <v>40975</v>
      </c>
    </row>
    <row r="3988" spans="6:8">
      <c r="F3988">
        <v>53045</v>
      </c>
      <c r="G3988">
        <v>2624</v>
      </c>
      <c r="H3988" s="9">
        <v>40975</v>
      </c>
    </row>
    <row r="3989" spans="6:8">
      <c r="F3989">
        <v>53053</v>
      </c>
      <c r="G3989">
        <v>7408</v>
      </c>
      <c r="H3989" s="9">
        <v>40975</v>
      </c>
    </row>
    <row r="3990" spans="6:8">
      <c r="F3990">
        <v>53054</v>
      </c>
      <c r="G3990">
        <v>7496</v>
      </c>
      <c r="H3990" s="9">
        <v>40975</v>
      </c>
    </row>
    <row r="3991" spans="6:8">
      <c r="F3991">
        <v>53060</v>
      </c>
      <c r="G3991">
        <v>5591</v>
      </c>
      <c r="H3991" s="9">
        <v>40976</v>
      </c>
    </row>
    <row r="3992" spans="6:8">
      <c r="F3992">
        <v>53062</v>
      </c>
      <c r="G3992">
        <v>5605</v>
      </c>
      <c r="H3992" s="9">
        <v>40976</v>
      </c>
    </row>
    <row r="3993" spans="6:8">
      <c r="F3993">
        <v>53064</v>
      </c>
      <c r="G3993">
        <v>6118</v>
      </c>
      <c r="H3993" s="9">
        <v>40976</v>
      </c>
    </row>
    <row r="3994" spans="6:8">
      <c r="F3994">
        <v>53069</v>
      </c>
      <c r="G3994">
        <v>4610</v>
      </c>
      <c r="H3994" s="9">
        <v>40979</v>
      </c>
    </row>
    <row r="3995" spans="6:8">
      <c r="F3995">
        <v>53072</v>
      </c>
      <c r="G3995">
        <v>7648</v>
      </c>
      <c r="H3995" s="9">
        <v>40979</v>
      </c>
    </row>
    <row r="3996" spans="6:8">
      <c r="F3996">
        <v>53075</v>
      </c>
      <c r="G3996">
        <v>7662</v>
      </c>
      <c r="H3996" s="9">
        <v>40979</v>
      </c>
    </row>
    <row r="3997" spans="6:8">
      <c r="F3997">
        <v>53077</v>
      </c>
      <c r="G3997">
        <v>7492</v>
      </c>
      <c r="H3997" s="9">
        <v>40979</v>
      </c>
    </row>
    <row r="3998" spans="6:8">
      <c r="F3998">
        <v>53078</v>
      </c>
      <c r="G3998">
        <v>3695</v>
      </c>
      <c r="H3998" s="9">
        <v>40980</v>
      </c>
    </row>
    <row r="3999" spans="6:8">
      <c r="F3999">
        <v>53091</v>
      </c>
      <c r="G3999">
        <v>1260</v>
      </c>
      <c r="H3999" s="9">
        <v>40981</v>
      </c>
    </row>
    <row r="4000" spans="6:8">
      <c r="F4000">
        <v>53093</v>
      </c>
      <c r="G4000">
        <v>4475</v>
      </c>
      <c r="H4000" s="9">
        <v>40981</v>
      </c>
    </row>
    <row r="4001" spans="6:8">
      <c r="F4001">
        <v>53097</v>
      </c>
      <c r="G4001">
        <v>7522</v>
      </c>
      <c r="H4001" s="9">
        <v>40981</v>
      </c>
    </row>
    <row r="4002" spans="6:8">
      <c r="F4002">
        <v>53104</v>
      </c>
      <c r="G4002">
        <v>2867</v>
      </c>
      <c r="H4002" s="9">
        <v>40981</v>
      </c>
    </row>
    <row r="4003" spans="6:8">
      <c r="F4003">
        <v>53106</v>
      </c>
      <c r="G4003">
        <v>2896</v>
      </c>
      <c r="H4003" s="9">
        <v>40981</v>
      </c>
    </row>
    <row r="4004" spans="6:8">
      <c r="F4004">
        <v>53110</v>
      </c>
      <c r="G4004">
        <v>3051</v>
      </c>
      <c r="H4004" s="9">
        <v>40981</v>
      </c>
    </row>
    <row r="4005" spans="6:8">
      <c r="F4005">
        <v>53115</v>
      </c>
      <c r="G4005">
        <v>2092</v>
      </c>
      <c r="H4005" s="9">
        <v>40981</v>
      </c>
    </row>
    <row r="4006" spans="6:8">
      <c r="F4006">
        <v>53116</v>
      </c>
      <c r="G4006">
        <v>2092</v>
      </c>
      <c r="H4006" s="9">
        <v>40981</v>
      </c>
    </row>
    <row r="4007" spans="6:8">
      <c r="F4007">
        <v>53139</v>
      </c>
      <c r="G4007">
        <v>2851</v>
      </c>
      <c r="H4007" s="9">
        <v>40983</v>
      </c>
    </row>
    <row r="4008" spans="6:8">
      <c r="F4008">
        <v>53145</v>
      </c>
      <c r="G4008">
        <v>5622</v>
      </c>
      <c r="H4008" s="9">
        <v>40983</v>
      </c>
    </row>
    <row r="4009" spans="6:8">
      <c r="F4009">
        <v>53158</v>
      </c>
      <c r="G4009">
        <v>5614</v>
      </c>
      <c r="H4009" s="9">
        <v>40986</v>
      </c>
    </row>
    <row r="4010" spans="6:8">
      <c r="F4010">
        <v>53172</v>
      </c>
      <c r="G4010">
        <v>1393</v>
      </c>
      <c r="H4010" s="9">
        <v>40986</v>
      </c>
    </row>
    <row r="4011" spans="6:8">
      <c r="F4011">
        <v>53174</v>
      </c>
      <c r="G4011">
        <v>1232</v>
      </c>
      <c r="H4011" s="9">
        <v>40986</v>
      </c>
    </row>
    <row r="4012" spans="6:8">
      <c r="F4012">
        <v>53180</v>
      </c>
      <c r="G4012">
        <v>223</v>
      </c>
      <c r="H4012" s="9">
        <v>40986</v>
      </c>
    </row>
    <row r="4013" spans="6:8">
      <c r="F4013">
        <v>53195</v>
      </c>
      <c r="G4013">
        <v>6805</v>
      </c>
      <c r="H4013" s="9">
        <v>40987</v>
      </c>
    </row>
    <row r="4014" spans="6:8">
      <c r="F4014">
        <v>53208</v>
      </c>
      <c r="G4014">
        <v>2367</v>
      </c>
      <c r="H4014" s="9">
        <v>40987</v>
      </c>
    </row>
    <row r="4015" spans="6:8">
      <c r="F4015">
        <v>53214</v>
      </c>
      <c r="G4015">
        <v>5108</v>
      </c>
      <c r="H4015" s="9">
        <v>40988</v>
      </c>
    </row>
    <row r="4016" spans="6:8">
      <c r="F4016">
        <v>53216</v>
      </c>
      <c r="G4016">
        <v>5281</v>
      </c>
      <c r="H4016" s="9">
        <v>40988</v>
      </c>
    </row>
    <row r="4017" spans="6:8">
      <c r="F4017">
        <v>53224</v>
      </c>
      <c r="G4017">
        <v>4027</v>
      </c>
      <c r="H4017" s="9">
        <v>40988</v>
      </c>
    </row>
    <row r="4018" spans="6:8">
      <c r="F4018">
        <v>53229</v>
      </c>
      <c r="G4018">
        <v>7182</v>
      </c>
      <c r="H4018" s="9">
        <v>40988</v>
      </c>
    </row>
    <row r="4019" spans="6:8">
      <c r="F4019">
        <v>53230</v>
      </c>
      <c r="G4019">
        <v>7961</v>
      </c>
      <c r="H4019" s="9">
        <v>40988</v>
      </c>
    </row>
    <row r="4020" spans="6:8">
      <c r="F4020">
        <v>53246</v>
      </c>
      <c r="G4020">
        <v>29</v>
      </c>
      <c r="H4020" s="9">
        <v>40988</v>
      </c>
    </row>
    <row r="4021" spans="6:8">
      <c r="F4021">
        <v>53254</v>
      </c>
      <c r="G4021">
        <v>39</v>
      </c>
      <c r="H4021" s="9">
        <v>40988</v>
      </c>
    </row>
    <row r="4022" spans="6:8">
      <c r="F4022">
        <v>53283</v>
      </c>
      <c r="G4022">
        <v>1</v>
      </c>
      <c r="H4022" s="9">
        <v>40989</v>
      </c>
    </row>
    <row r="4023" spans="6:8">
      <c r="F4023">
        <v>53312</v>
      </c>
      <c r="G4023">
        <v>729</v>
      </c>
      <c r="H4023" s="9">
        <v>40983</v>
      </c>
    </row>
    <row r="4024" spans="6:8">
      <c r="F4024">
        <v>53316</v>
      </c>
      <c r="G4024">
        <v>7074</v>
      </c>
      <c r="H4024" s="9">
        <v>40983</v>
      </c>
    </row>
    <row r="4025" spans="6:8">
      <c r="F4025">
        <v>53338</v>
      </c>
      <c r="G4025">
        <v>1001</v>
      </c>
      <c r="H4025" s="9">
        <v>40990</v>
      </c>
    </row>
    <row r="4026" spans="6:8">
      <c r="F4026">
        <v>53374</v>
      </c>
      <c r="G4026">
        <v>6579</v>
      </c>
      <c r="H4026" s="9">
        <v>40994</v>
      </c>
    </row>
    <row r="4027" spans="6:8">
      <c r="F4027">
        <v>53389</v>
      </c>
      <c r="G4027">
        <v>7562</v>
      </c>
      <c r="H4027" s="9">
        <v>40994</v>
      </c>
    </row>
    <row r="4028" spans="6:8">
      <c r="F4028">
        <v>53418</v>
      </c>
      <c r="G4028">
        <v>1003</v>
      </c>
      <c r="H4028" s="9">
        <v>40993</v>
      </c>
    </row>
    <row r="4029" spans="6:8">
      <c r="F4029">
        <v>53427</v>
      </c>
      <c r="G4029">
        <v>1084</v>
      </c>
      <c r="H4029" s="9">
        <v>40994</v>
      </c>
    </row>
    <row r="4030" spans="6:8">
      <c r="F4030">
        <v>53440</v>
      </c>
      <c r="G4030">
        <v>25</v>
      </c>
      <c r="H4030" s="9">
        <v>40995</v>
      </c>
    </row>
    <row r="4031" spans="6:8">
      <c r="F4031">
        <v>53443</v>
      </c>
      <c r="G4031">
        <v>368</v>
      </c>
      <c r="H4031" s="9">
        <v>40995</v>
      </c>
    </row>
    <row r="4032" spans="6:8">
      <c r="F4032">
        <v>53447</v>
      </c>
      <c r="G4032">
        <v>3007</v>
      </c>
      <c r="H4032" s="9">
        <v>40995</v>
      </c>
    </row>
    <row r="4033" spans="6:8">
      <c r="F4033">
        <v>53453</v>
      </c>
      <c r="G4033">
        <v>4062</v>
      </c>
      <c r="H4033" s="9">
        <v>40995</v>
      </c>
    </row>
    <row r="4034" spans="6:8">
      <c r="F4034">
        <v>53454</v>
      </c>
      <c r="G4034">
        <v>7651</v>
      </c>
      <c r="H4034" s="9">
        <v>40995</v>
      </c>
    </row>
    <row r="4035" spans="6:8">
      <c r="F4035">
        <v>53455</v>
      </c>
      <c r="G4035">
        <v>4151</v>
      </c>
      <c r="H4035" s="9">
        <v>40995</v>
      </c>
    </row>
    <row r="4036" spans="6:8">
      <c r="F4036">
        <v>53458</v>
      </c>
      <c r="G4036">
        <v>5960</v>
      </c>
      <c r="H4036" s="9">
        <v>40995</v>
      </c>
    </row>
    <row r="4037" spans="6:8">
      <c r="F4037">
        <v>53461</v>
      </c>
      <c r="G4037">
        <v>7772</v>
      </c>
      <c r="H4037" s="9">
        <v>40995</v>
      </c>
    </row>
    <row r="4038" spans="6:8">
      <c r="F4038">
        <v>53463</v>
      </c>
      <c r="G4038">
        <v>4798</v>
      </c>
      <c r="H4038" s="9">
        <v>40995</v>
      </c>
    </row>
    <row r="4039" spans="6:8">
      <c r="F4039">
        <v>53464</v>
      </c>
      <c r="G4039">
        <v>6879</v>
      </c>
      <c r="H4039" s="9">
        <v>40995</v>
      </c>
    </row>
    <row r="4040" spans="6:8">
      <c r="F4040">
        <v>53472</v>
      </c>
      <c r="G4040">
        <v>5906</v>
      </c>
      <c r="H4040" s="9">
        <v>40995</v>
      </c>
    </row>
    <row r="4041" spans="6:8">
      <c r="F4041">
        <v>53490</v>
      </c>
      <c r="G4041">
        <v>5217</v>
      </c>
      <c r="H4041" s="9">
        <v>40997</v>
      </c>
    </row>
    <row r="4042" spans="6:8">
      <c r="F4042">
        <v>53507</v>
      </c>
      <c r="G4042">
        <v>2565</v>
      </c>
      <c r="H4042" s="9">
        <v>41001</v>
      </c>
    </row>
    <row r="4043" spans="6:8">
      <c r="F4043">
        <v>53508</v>
      </c>
      <c r="G4043">
        <v>6440</v>
      </c>
      <c r="H4043" s="9">
        <v>41001</v>
      </c>
    </row>
    <row r="4044" spans="6:8">
      <c r="F4044">
        <v>53511</v>
      </c>
      <c r="G4044">
        <v>3018</v>
      </c>
      <c r="H4044" s="9">
        <v>41001</v>
      </c>
    </row>
    <row r="4045" spans="6:8">
      <c r="F4045">
        <v>53513</v>
      </c>
      <c r="G4045">
        <v>2018</v>
      </c>
      <c r="H4045" s="9">
        <v>41001</v>
      </c>
    </row>
    <row r="4046" spans="6:8">
      <c r="F4046">
        <v>53517</v>
      </c>
      <c r="G4046">
        <v>6993</v>
      </c>
      <c r="H4046" s="9">
        <v>41001</v>
      </c>
    </row>
    <row r="4047" spans="6:8">
      <c r="F4047">
        <v>53524</v>
      </c>
      <c r="G4047">
        <v>863</v>
      </c>
      <c r="H4047" s="9">
        <v>41001</v>
      </c>
    </row>
    <row r="4048" spans="6:8">
      <c r="F4048">
        <v>53528</v>
      </c>
      <c r="G4048">
        <v>1385</v>
      </c>
      <c r="H4048" s="9">
        <v>41001</v>
      </c>
    </row>
    <row r="4049" spans="6:8">
      <c r="F4049">
        <v>53545</v>
      </c>
      <c r="G4049">
        <v>7317</v>
      </c>
      <c r="H4049" s="9">
        <v>41001</v>
      </c>
    </row>
    <row r="4050" spans="6:8">
      <c r="F4050">
        <v>53556</v>
      </c>
      <c r="G4050">
        <v>4021</v>
      </c>
      <c r="H4050" s="9">
        <v>41001</v>
      </c>
    </row>
    <row r="4051" spans="6:8">
      <c r="F4051">
        <v>53558</v>
      </c>
      <c r="G4051">
        <v>6575</v>
      </c>
      <c r="H4051" s="9">
        <v>41001</v>
      </c>
    </row>
    <row r="4052" spans="6:8">
      <c r="F4052">
        <v>53574</v>
      </c>
      <c r="G4052">
        <v>3874</v>
      </c>
      <c r="H4052" s="9">
        <v>41001</v>
      </c>
    </row>
    <row r="4053" spans="6:8">
      <c r="F4053">
        <v>53577</v>
      </c>
      <c r="G4053">
        <v>7542</v>
      </c>
      <c r="H4053" s="9">
        <v>41001</v>
      </c>
    </row>
    <row r="4054" spans="6:8">
      <c r="F4054">
        <v>53593</v>
      </c>
      <c r="G4054">
        <v>8148</v>
      </c>
      <c r="H4054" s="9">
        <v>41001</v>
      </c>
    </row>
    <row r="4055" spans="6:8">
      <c r="F4055">
        <v>53595</v>
      </c>
      <c r="G4055">
        <v>8150</v>
      </c>
      <c r="H4055" s="9">
        <v>41001</v>
      </c>
    </row>
    <row r="4056" spans="6:8">
      <c r="F4056">
        <v>53602</v>
      </c>
      <c r="G4056">
        <v>6712</v>
      </c>
      <c r="H4056" s="9">
        <v>41002</v>
      </c>
    </row>
    <row r="4057" spans="6:8">
      <c r="F4057">
        <v>53607</v>
      </c>
      <c r="G4057">
        <v>7886</v>
      </c>
      <c r="H4057" s="9">
        <v>41002</v>
      </c>
    </row>
    <row r="4058" spans="6:8">
      <c r="F4058">
        <v>53609</v>
      </c>
      <c r="G4058">
        <v>2809</v>
      </c>
      <c r="H4058" s="9">
        <v>41002</v>
      </c>
    </row>
    <row r="4059" spans="6:8">
      <c r="F4059">
        <v>53616</v>
      </c>
      <c r="G4059">
        <v>7721</v>
      </c>
      <c r="H4059" s="9">
        <v>41002</v>
      </c>
    </row>
    <row r="4060" spans="6:8">
      <c r="F4060">
        <v>53619</v>
      </c>
      <c r="G4060">
        <v>7255</v>
      </c>
      <c r="H4060" s="9">
        <v>41002</v>
      </c>
    </row>
    <row r="4061" spans="6:8">
      <c r="F4061">
        <v>53624</v>
      </c>
      <c r="G4061">
        <v>6468</v>
      </c>
      <c r="H4061" s="9">
        <v>41002</v>
      </c>
    </row>
    <row r="4062" spans="6:8">
      <c r="F4062">
        <v>53645</v>
      </c>
      <c r="G4062">
        <v>184</v>
      </c>
      <c r="H4062" s="9">
        <v>41002</v>
      </c>
    </row>
    <row r="4063" spans="6:8">
      <c r="F4063">
        <v>53694</v>
      </c>
      <c r="G4063">
        <v>8157</v>
      </c>
      <c r="H4063" s="9">
        <v>41004</v>
      </c>
    </row>
    <row r="4064" spans="6:8">
      <c r="F4064">
        <v>53698</v>
      </c>
      <c r="G4064">
        <v>373</v>
      </c>
      <c r="H4064" s="9">
        <v>41004</v>
      </c>
    </row>
    <row r="4065" spans="6:8">
      <c r="F4065">
        <v>53739</v>
      </c>
      <c r="G4065">
        <v>7689</v>
      </c>
      <c r="H4065" s="9">
        <v>41009</v>
      </c>
    </row>
    <row r="4066" spans="6:8">
      <c r="F4066">
        <v>53754</v>
      </c>
      <c r="G4066">
        <v>4799</v>
      </c>
      <c r="H4066" s="9">
        <v>41009</v>
      </c>
    </row>
    <row r="4067" spans="6:8">
      <c r="F4067">
        <v>53758</v>
      </c>
      <c r="G4067">
        <v>7580</v>
      </c>
      <c r="H4067" s="9">
        <v>41009</v>
      </c>
    </row>
    <row r="4068" spans="6:8">
      <c r="F4068">
        <v>53762</v>
      </c>
      <c r="G4068">
        <v>7476</v>
      </c>
      <c r="H4068" s="9">
        <v>41009</v>
      </c>
    </row>
    <row r="4069" spans="6:8">
      <c r="F4069">
        <v>53769</v>
      </c>
      <c r="G4069">
        <v>7098</v>
      </c>
      <c r="H4069" s="9">
        <v>41010</v>
      </c>
    </row>
    <row r="4070" spans="6:8">
      <c r="F4070">
        <v>53771</v>
      </c>
      <c r="G4070">
        <v>8155</v>
      </c>
      <c r="H4070" s="9">
        <v>41010</v>
      </c>
    </row>
    <row r="4071" spans="6:8">
      <c r="F4071">
        <v>53772</v>
      </c>
      <c r="G4071">
        <v>5221</v>
      </c>
      <c r="H4071" s="9">
        <v>41010</v>
      </c>
    </row>
    <row r="4072" spans="6:8">
      <c r="F4072">
        <v>53775</v>
      </c>
      <c r="G4072">
        <v>486</v>
      </c>
      <c r="H4072" s="9">
        <v>41010</v>
      </c>
    </row>
    <row r="4073" spans="6:8">
      <c r="F4073">
        <v>53782</v>
      </c>
      <c r="G4073">
        <v>5812</v>
      </c>
      <c r="H4073" s="9">
        <v>41010</v>
      </c>
    </row>
    <row r="4074" spans="6:8">
      <c r="F4074">
        <v>53785</v>
      </c>
      <c r="G4074">
        <v>1521</v>
      </c>
      <c r="H4074" s="9">
        <v>41010</v>
      </c>
    </row>
    <row r="4075" spans="6:8">
      <c r="F4075">
        <v>53786</v>
      </c>
      <c r="G4075">
        <v>1521</v>
      </c>
      <c r="H4075" s="9">
        <v>41010</v>
      </c>
    </row>
    <row r="4076" spans="6:8">
      <c r="F4076">
        <v>53791</v>
      </c>
      <c r="G4076">
        <v>866</v>
      </c>
      <c r="H4076" s="9">
        <v>41010</v>
      </c>
    </row>
    <row r="4077" spans="6:8">
      <c r="F4077">
        <v>53797</v>
      </c>
      <c r="G4077">
        <v>3735</v>
      </c>
      <c r="H4077" s="9">
        <v>41010</v>
      </c>
    </row>
    <row r="4078" spans="6:8">
      <c r="F4078">
        <v>53807</v>
      </c>
      <c r="G4078">
        <v>2122</v>
      </c>
      <c r="H4078" s="9">
        <v>41010</v>
      </c>
    </row>
    <row r="4079" spans="6:8">
      <c r="F4079">
        <v>53821</v>
      </c>
      <c r="G4079">
        <v>7167</v>
      </c>
      <c r="H4079" s="9">
        <v>41010</v>
      </c>
    </row>
    <row r="4080" spans="6:8">
      <c r="F4080">
        <v>53825</v>
      </c>
      <c r="G4080">
        <v>7449</v>
      </c>
      <c r="H4080" s="9">
        <v>41010</v>
      </c>
    </row>
    <row r="4081" spans="6:8">
      <c r="F4081">
        <v>53837</v>
      </c>
      <c r="G4081">
        <v>1142</v>
      </c>
      <c r="H4081" s="9">
        <v>41010</v>
      </c>
    </row>
    <row r="4082" spans="6:8">
      <c r="F4082">
        <v>53846</v>
      </c>
      <c r="G4082">
        <v>6922</v>
      </c>
      <c r="H4082" s="9">
        <v>41010</v>
      </c>
    </row>
    <row r="4083" spans="6:8">
      <c r="F4083">
        <v>53849</v>
      </c>
      <c r="G4083">
        <v>3687</v>
      </c>
      <c r="H4083" s="9">
        <v>41010</v>
      </c>
    </row>
    <row r="4084" spans="6:8">
      <c r="F4084">
        <v>53868</v>
      </c>
      <c r="G4084">
        <v>2151</v>
      </c>
      <c r="H4084" s="9">
        <v>41014</v>
      </c>
    </row>
    <row r="4085" spans="6:8">
      <c r="F4085">
        <v>53894</v>
      </c>
      <c r="G4085">
        <v>6925</v>
      </c>
      <c r="H4085" s="9">
        <v>41015</v>
      </c>
    </row>
    <row r="4086" spans="6:8">
      <c r="F4086">
        <v>53903</v>
      </c>
      <c r="G4086">
        <v>569</v>
      </c>
      <c r="H4086" s="9">
        <v>41011</v>
      </c>
    </row>
    <row r="4087" spans="6:8">
      <c r="F4087">
        <v>53904</v>
      </c>
      <c r="G4087">
        <v>993</v>
      </c>
      <c r="H4087" s="9">
        <v>41011</v>
      </c>
    </row>
    <row r="4088" spans="6:8">
      <c r="F4088">
        <v>53916</v>
      </c>
      <c r="G4088">
        <v>3093</v>
      </c>
      <c r="H4088" s="9">
        <v>41011</v>
      </c>
    </row>
    <row r="4089" spans="6:8">
      <c r="F4089">
        <v>53923</v>
      </c>
      <c r="G4089">
        <v>5175</v>
      </c>
      <c r="H4089" s="9">
        <v>41011</v>
      </c>
    </row>
    <row r="4090" spans="6:8">
      <c r="F4090">
        <v>53925</v>
      </c>
      <c r="G4090">
        <v>433</v>
      </c>
      <c r="H4090" s="9">
        <v>41011</v>
      </c>
    </row>
    <row r="4091" spans="6:8">
      <c r="F4091">
        <v>53928</v>
      </c>
      <c r="G4091">
        <v>3378</v>
      </c>
      <c r="H4091" s="9">
        <v>41011</v>
      </c>
    </row>
    <row r="4092" spans="6:8">
      <c r="F4092">
        <v>53929</v>
      </c>
      <c r="G4092">
        <v>4649</v>
      </c>
      <c r="H4092" s="9">
        <v>41012</v>
      </c>
    </row>
    <row r="4093" spans="6:8">
      <c r="F4093">
        <v>53932</v>
      </c>
      <c r="G4093">
        <v>256</v>
      </c>
      <c r="H4093" s="9">
        <v>41012</v>
      </c>
    </row>
    <row r="4094" spans="6:8">
      <c r="F4094">
        <v>53933</v>
      </c>
      <c r="G4094">
        <v>5176</v>
      </c>
      <c r="H4094" s="9">
        <v>41012</v>
      </c>
    </row>
    <row r="4095" spans="6:8">
      <c r="F4095">
        <v>53947</v>
      </c>
      <c r="G4095">
        <v>6571</v>
      </c>
      <c r="H4095" s="9">
        <v>41017</v>
      </c>
    </row>
    <row r="4096" spans="6:8">
      <c r="F4096">
        <v>53961</v>
      </c>
      <c r="G4096">
        <v>5543</v>
      </c>
      <c r="H4096" s="9">
        <v>41017</v>
      </c>
    </row>
    <row r="4097" spans="6:8">
      <c r="F4097">
        <v>53964</v>
      </c>
      <c r="G4097">
        <v>2892</v>
      </c>
      <c r="H4097" s="9">
        <v>41017</v>
      </c>
    </row>
    <row r="4098" spans="6:8">
      <c r="F4098">
        <v>53965</v>
      </c>
      <c r="G4098">
        <v>4755</v>
      </c>
      <c r="H4098" s="9">
        <v>41017</v>
      </c>
    </row>
    <row r="4099" spans="6:8">
      <c r="F4099">
        <v>53970</v>
      </c>
      <c r="G4099">
        <v>6066</v>
      </c>
      <c r="H4099" s="9">
        <v>41017</v>
      </c>
    </row>
    <row r="4100" spans="6:8">
      <c r="F4100">
        <v>53977</v>
      </c>
      <c r="G4100">
        <v>7423</v>
      </c>
      <c r="H4100" s="9">
        <v>41017</v>
      </c>
    </row>
    <row r="4101" spans="6:8">
      <c r="F4101">
        <v>53978</v>
      </c>
      <c r="G4101">
        <v>4557</v>
      </c>
      <c r="H4101" s="9">
        <v>41017</v>
      </c>
    </row>
    <row r="4102" spans="6:8">
      <c r="F4102">
        <v>53985</v>
      </c>
      <c r="G4102">
        <v>8067</v>
      </c>
      <c r="H4102" s="9">
        <v>41017</v>
      </c>
    </row>
    <row r="4103" spans="6:8">
      <c r="F4103">
        <v>53988</v>
      </c>
      <c r="G4103">
        <v>6811</v>
      </c>
      <c r="H4103" s="9">
        <v>41017</v>
      </c>
    </row>
    <row r="4104" spans="6:8">
      <c r="F4104">
        <v>53990</v>
      </c>
      <c r="G4104">
        <v>3010</v>
      </c>
      <c r="H4104" s="9">
        <v>41017</v>
      </c>
    </row>
    <row r="4105" spans="6:8">
      <c r="F4105">
        <v>53992</v>
      </c>
      <c r="G4105">
        <v>4235</v>
      </c>
      <c r="H4105" s="9">
        <v>41017</v>
      </c>
    </row>
    <row r="4106" spans="6:8">
      <c r="F4106">
        <v>53993</v>
      </c>
      <c r="G4106">
        <v>3948</v>
      </c>
      <c r="H4106" s="9">
        <v>41017</v>
      </c>
    </row>
    <row r="4107" spans="6:8">
      <c r="F4107">
        <v>53997</v>
      </c>
      <c r="G4107">
        <v>7663</v>
      </c>
      <c r="H4107" s="9">
        <v>41017</v>
      </c>
    </row>
    <row r="4108" spans="6:8">
      <c r="F4108">
        <v>54000</v>
      </c>
      <c r="G4108">
        <v>626</v>
      </c>
      <c r="H4108" s="9">
        <v>41017</v>
      </c>
    </row>
    <row r="4109" spans="6:8">
      <c r="F4109">
        <v>54007</v>
      </c>
      <c r="G4109">
        <v>658</v>
      </c>
      <c r="H4109" s="9">
        <v>41017</v>
      </c>
    </row>
    <row r="4110" spans="6:8">
      <c r="F4110">
        <v>54011</v>
      </c>
      <c r="G4110">
        <v>2236</v>
      </c>
      <c r="H4110" s="9">
        <v>41017</v>
      </c>
    </row>
    <row r="4111" spans="6:8">
      <c r="F4111">
        <v>54012</v>
      </c>
      <c r="G4111">
        <v>7336</v>
      </c>
      <c r="H4111" s="9">
        <v>41017</v>
      </c>
    </row>
    <row r="4112" spans="6:8">
      <c r="F4112">
        <v>54017</v>
      </c>
      <c r="G4112">
        <v>1625</v>
      </c>
      <c r="H4112" s="9">
        <v>41017</v>
      </c>
    </row>
    <row r="4113" spans="6:8">
      <c r="F4113">
        <v>54019</v>
      </c>
      <c r="G4113">
        <v>4165</v>
      </c>
      <c r="H4113" s="9">
        <v>41017</v>
      </c>
    </row>
    <row r="4114" spans="6:8">
      <c r="F4114">
        <v>54024</v>
      </c>
      <c r="G4114">
        <v>7153</v>
      </c>
      <c r="H4114" s="9">
        <v>41017</v>
      </c>
    </row>
    <row r="4115" spans="6:8">
      <c r="F4115">
        <v>54047</v>
      </c>
      <c r="G4115">
        <v>6267</v>
      </c>
      <c r="H4115" s="9">
        <v>41017</v>
      </c>
    </row>
    <row r="4116" spans="6:8">
      <c r="F4116">
        <v>54065</v>
      </c>
      <c r="G4116">
        <v>1038</v>
      </c>
      <c r="H4116" s="9">
        <v>41017</v>
      </c>
    </row>
    <row r="4117" spans="6:8">
      <c r="F4117">
        <v>54079</v>
      </c>
      <c r="G4117">
        <v>2327</v>
      </c>
      <c r="H4117" s="9">
        <v>41017</v>
      </c>
    </row>
    <row r="4118" spans="6:8">
      <c r="F4118">
        <v>54094</v>
      </c>
      <c r="G4118">
        <v>1691</v>
      </c>
      <c r="H4118" s="9">
        <v>41017</v>
      </c>
    </row>
    <row r="4119" spans="6:8">
      <c r="F4119">
        <v>54123</v>
      </c>
      <c r="G4119">
        <v>16</v>
      </c>
      <c r="H4119" s="9">
        <v>41017</v>
      </c>
    </row>
    <row r="4120" spans="6:8">
      <c r="F4120">
        <v>54124</v>
      </c>
      <c r="G4120">
        <v>7701</v>
      </c>
      <c r="H4120" s="9">
        <v>41017</v>
      </c>
    </row>
    <row r="4121" spans="6:8">
      <c r="F4121">
        <v>54138</v>
      </c>
      <c r="G4121">
        <v>7451</v>
      </c>
      <c r="H4121" s="9">
        <v>41018</v>
      </c>
    </row>
    <row r="4122" spans="6:8">
      <c r="F4122">
        <v>54152</v>
      </c>
      <c r="G4122">
        <v>1019</v>
      </c>
      <c r="H4122" s="9">
        <v>41021</v>
      </c>
    </row>
    <row r="4123" spans="6:8">
      <c r="F4123">
        <v>54157</v>
      </c>
      <c r="G4123">
        <v>2305</v>
      </c>
      <c r="H4123" s="9">
        <v>41021</v>
      </c>
    </row>
    <row r="4124" spans="6:8">
      <c r="F4124">
        <v>54216</v>
      </c>
      <c r="G4124">
        <v>5374</v>
      </c>
      <c r="H4124" s="9">
        <v>41022</v>
      </c>
    </row>
    <row r="4125" spans="6:8">
      <c r="F4125">
        <v>54224</v>
      </c>
      <c r="G4125">
        <v>6399</v>
      </c>
      <c r="H4125" s="9">
        <v>41025</v>
      </c>
    </row>
    <row r="4126" spans="6:8">
      <c r="F4126">
        <v>54226</v>
      </c>
      <c r="G4126">
        <v>4632</v>
      </c>
      <c r="H4126" s="9">
        <v>41025</v>
      </c>
    </row>
    <row r="4127" spans="6:8">
      <c r="F4127">
        <v>54255</v>
      </c>
      <c r="G4127">
        <v>6784</v>
      </c>
      <c r="H4127" s="9">
        <v>41023</v>
      </c>
    </row>
    <row r="4128" spans="6:8">
      <c r="F4128">
        <v>54265</v>
      </c>
      <c r="G4128">
        <v>1630</v>
      </c>
      <c r="H4128" s="9">
        <v>41024</v>
      </c>
    </row>
    <row r="4129" spans="6:8">
      <c r="F4129">
        <v>54284</v>
      </c>
      <c r="G4129">
        <v>6615</v>
      </c>
      <c r="H4129" s="9">
        <v>41024</v>
      </c>
    </row>
    <row r="4130" spans="6:8">
      <c r="F4130">
        <v>54292</v>
      </c>
      <c r="G4130">
        <v>918</v>
      </c>
      <c r="H4130" s="9">
        <v>41024</v>
      </c>
    </row>
    <row r="4131" spans="6:8">
      <c r="F4131">
        <v>54295</v>
      </c>
      <c r="G4131">
        <v>3460</v>
      </c>
      <c r="H4131" s="9">
        <v>41024</v>
      </c>
    </row>
    <row r="4132" spans="6:8">
      <c r="F4132">
        <v>54296</v>
      </c>
      <c r="G4132">
        <v>6123</v>
      </c>
      <c r="H4132" s="9">
        <v>41024</v>
      </c>
    </row>
    <row r="4133" spans="6:8">
      <c r="F4133">
        <v>54299</v>
      </c>
      <c r="G4133">
        <v>6087</v>
      </c>
      <c r="H4133" s="9">
        <v>41024</v>
      </c>
    </row>
    <row r="4134" spans="6:8">
      <c r="F4134">
        <v>54302</v>
      </c>
      <c r="G4134">
        <v>8136</v>
      </c>
      <c r="H4134" s="9">
        <v>41024</v>
      </c>
    </row>
    <row r="4135" spans="6:8">
      <c r="F4135">
        <v>54306</v>
      </c>
      <c r="G4135">
        <v>4481</v>
      </c>
      <c r="H4135" s="9">
        <v>41024</v>
      </c>
    </row>
    <row r="4136" spans="6:8">
      <c r="F4136">
        <v>54310</v>
      </c>
      <c r="G4136">
        <v>4454</v>
      </c>
      <c r="H4136" s="9">
        <v>41024</v>
      </c>
    </row>
    <row r="4137" spans="6:8">
      <c r="F4137">
        <v>54326</v>
      </c>
      <c r="G4137">
        <v>7916</v>
      </c>
      <c r="H4137" s="9">
        <v>41024</v>
      </c>
    </row>
    <row r="4138" spans="6:8">
      <c r="F4138">
        <v>54329</v>
      </c>
      <c r="G4138">
        <v>5604</v>
      </c>
      <c r="H4138" s="9">
        <v>41024</v>
      </c>
    </row>
    <row r="4139" spans="6:8">
      <c r="F4139">
        <v>54342</v>
      </c>
      <c r="G4139">
        <v>4522</v>
      </c>
      <c r="H4139" s="9">
        <v>41024</v>
      </c>
    </row>
    <row r="4140" spans="6:8">
      <c r="F4140">
        <v>54364</v>
      </c>
      <c r="G4140">
        <v>7027</v>
      </c>
      <c r="H4140" s="9">
        <v>41024</v>
      </c>
    </row>
    <row r="4141" spans="6:8">
      <c r="F4141">
        <v>54389</v>
      </c>
      <c r="G4141">
        <v>5565</v>
      </c>
      <c r="H4141" s="9">
        <v>41030</v>
      </c>
    </row>
    <row r="4142" spans="6:8">
      <c r="F4142">
        <v>54392</v>
      </c>
      <c r="G4142">
        <v>5497</v>
      </c>
      <c r="H4142" s="9">
        <v>41030</v>
      </c>
    </row>
    <row r="4143" spans="6:8">
      <c r="F4143">
        <v>54394</v>
      </c>
      <c r="G4143">
        <v>171</v>
      </c>
      <c r="H4143" s="9">
        <v>41030</v>
      </c>
    </row>
    <row r="4144" spans="6:8">
      <c r="F4144">
        <v>54400</v>
      </c>
      <c r="G4144">
        <v>7014</v>
      </c>
      <c r="H4144" s="9">
        <v>41030</v>
      </c>
    </row>
    <row r="4145" spans="6:8">
      <c r="F4145">
        <v>54414</v>
      </c>
      <c r="G4145">
        <v>6792</v>
      </c>
      <c r="H4145" s="9">
        <v>41031</v>
      </c>
    </row>
    <row r="4146" spans="6:8">
      <c r="F4146">
        <v>54423</v>
      </c>
      <c r="G4146">
        <v>7375</v>
      </c>
      <c r="H4146" s="9">
        <v>41032</v>
      </c>
    </row>
    <row r="4147" spans="6:8">
      <c r="F4147">
        <v>54432</v>
      </c>
      <c r="G4147">
        <v>1004</v>
      </c>
      <c r="H4147" s="9">
        <v>41032</v>
      </c>
    </row>
    <row r="4148" spans="6:8">
      <c r="F4148">
        <v>54446</v>
      </c>
      <c r="G4148">
        <v>2274</v>
      </c>
      <c r="H4148" s="9">
        <v>41029</v>
      </c>
    </row>
    <row r="4149" spans="6:8">
      <c r="F4149">
        <v>54448</v>
      </c>
      <c r="G4149">
        <v>2943</v>
      </c>
      <c r="H4149" s="9">
        <v>41029</v>
      </c>
    </row>
    <row r="4150" spans="6:8">
      <c r="F4150">
        <v>54449</v>
      </c>
      <c r="G4150">
        <v>1235</v>
      </c>
      <c r="H4150" s="9">
        <v>41029</v>
      </c>
    </row>
    <row r="4151" spans="6:8">
      <c r="F4151">
        <v>54456</v>
      </c>
      <c r="G4151">
        <v>330</v>
      </c>
      <c r="H4151" s="9">
        <v>41029</v>
      </c>
    </row>
    <row r="4152" spans="6:8">
      <c r="F4152">
        <v>54460</v>
      </c>
      <c r="G4152">
        <v>683</v>
      </c>
      <c r="H4152" s="9">
        <v>41029</v>
      </c>
    </row>
    <row r="4153" spans="6:8">
      <c r="F4153">
        <v>54469</v>
      </c>
      <c r="G4153">
        <v>1756</v>
      </c>
      <c r="H4153" s="9">
        <v>41035</v>
      </c>
    </row>
    <row r="4154" spans="6:8">
      <c r="F4154">
        <v>54472</v>
      </c>
      <c r="G4154">
        <v>185</v>
      </c>
      <c r="H4154" s="9">
        <v>41035</v>
      </c>
    </row>
    <row r="4155" spans="6:8">
      <c r="F4155">
        <v>54476</v>
      </c>
      <c r="G4155">
        <v>6430</v>
      </c>
      <c r="H4155" s="9">
        <v>41035</v>
      </c>
    </row>
    <row r="4156" spans="6:8">
      <c r="F4156">
        <v>54487</v>
      </c>
      <c r="G4156">
        <v>8061</v>
      </c>
      <c r="H4156" s="9">
        <v>41030</v>
      </c>
    </row>
    <row r="4157" spans="6:8">
      <c r="F4157">
        <v>54505</v>
      </c>
      <c r="G4157">
        <v>2256</v>
      </c>
      <c r="H4157" s="9">
        <v>41030</v>
      </c>
    </row>
    <row r="4158" spans="6:8">
      <c r="F4158">
        <v>54508</v>
      </c>
      <c r="G4158">
        <v>908</v>
      </c>
      <c r="H4158" s="9">
        <v>41030</v>
      </c>
    </row>
    <row r="4159" spans="6:8">
      <c r="F4159">
        <v>54509</v>
      </c>
      <c r="G4159">
        <v>356</v>
      </c>
      <c r="H4159" s="9">
        <v>41030</v>
      </c>
    </row>
    <row r="4160" spans="6:8">
      <c r="F4160">
        <v>54514</v>
      </c>
      <c r="G4160">
        <v>2208</v>
      </c>
      <c r="H4160" s="9">
        <v>41030</v>
      </c>
    </row>
    <row r="4161" spans="6:8">
      <c r="F4161">
        <v>54535</v>
      </c>
      <c r="G4161">
        <v>5974</v>
      </c>
      <c r="H4161" s="9">
        <v>41030</v>
      </c>
    </row>
    <row r="4162" spans="6:8">
      <c r="F4162">
        <v>54558</v>
      </c>
      <c r="G4162">
        <v>8170</v>
      </c>
      <c r="H4162" s="9">
        <v>41035</v>
      </c>
    </row>
    <row r="4163" spans="6:8">
      <c r="F4163">
        <v>54578</v>
      </c>
      <c r="G4163">
        <v>7047</v>
      </c>
      <c r="H4163" s="9">
        <v>41035</v>
      </c>
    </row>
    <row r="4164" spans="6:8">
      <c r="F4164">
        <v>54599</v>
      </c>
      <c r="G4164">
        <v>4231</v>
      </c>
      <c r="H4164" s="9">
        <v>41035</v>
      </c>
    </row>
    <row r="4165" spans="6:8">
      <c r="F4165">
        <v>54615</v>
      </c>
      <c r="G4165">
        <v>7297</v>
      </c>
      <c r="H4165" s="9">
        <v>41035</v>
      </c>
    </row>
    <row r="4166" spans="6:8">
      <c r="F4166">
        <v>54619</v>
      </c>
      <c r="G4166">
        <v>1747</v>
      </c>
      <c r="H4166" s="9">
        <v>41035</v>
      </c>
    </row>
    <row r="4167" spans="6:8">
      <c r="F4167">
        <v>54623</v>
      </c>
      <c r="G4167">
        <v>7553</v>
      </c>
      <c r="H4167" s="9">
        <v>41035</v>
      </c>
    </row>
    <row r="4168" spans="6:8">
      <c r="F4168">
        <v>54624</v>
      </c>
      <c r="G4168">
        <v>7855</v>
      </c>
      <c r="H4168" s="9">
        <v>41035</v>
      </c>
    </row>
    <row r="4169" spans="6:8">
      <c r="F4169">
        <v>54627</v>
      </c>
      <c r="G4169">
        <v>2471</v>
      </c>
      <c r="H4169" s="9">
        <v>41035</v>
      </c>
    </row>
    <row r="4170" spans="6:8">
      <c r="F4170">
        <v>54628</v>
      </c>
      <c r="G4170">
        <v>7254</v>
      </c>
      <c r="H4170" s="9">
        <v>41035</v>
      </c>
    </row>
    <row r="4171" spans="6:8">
      <c r="F4171">
        <v>54633</v>
      </c>
      <c r="G4171">
        <v>3406</v>
      </c>
      <c r="H4171" s="9">
        <v>41035</v>
      </c>
    </row>
    <row r="4172" spans="6:8">
      <c r="F4172">
        <v>54635</v>
      </c>
      <c r="G4172">
        <v>1869</v>
      </c>
      <c r="H4172" s="9">
        <v>41038</v>
      </c>
    </row>
    <row r="4173" spans="6:8">
      <c r="F4173">
        <v>54641</v>
      </c>
      <c r="G4173">
        <v>7108</v>
      </c>
      <c r="H4173" s="9">
        <v>41038</v>
      </c>
    </row>
    <row r="4174" spans="6:8">
      <c r="F4174">
        <v>54644</v>
      </c>
      <c r="G4174">
        <v>7472</v>
      </c>
      <c r="H4174" s="9">
        <v>41038</v>
      </c>
    </row>
    <row r="4175" spans="6:8">
      <c r="F4175">
        <v>54645</v>
      </c>
      <c r="G4175">
        <v>2461</v>
      </c>
      <c r="H4175" s="9">
        <v>41038</v>
      </c>
    </row>
    <row r="4176" spans="6:8">
      <c r="F4176">
        <v>54646</v>
      </c>
      <c r="G4176">
        <v>2461</v>
      </c>
      <c r="H4176" s="9">
        <v>41038</v>
      </c>
    </row>
    <row r="4177" spans="6:8">
      <c r="F4177">
        <v>54648</v>
      </c>
      <c r="G4177">
        <v>7483</v>
      </c>
      <c r="H4177" s="9">
        <v>41038</v>
      </c>
    </row>
    <row r="4178" spans="6:8">
      <c r="F4178">
        <v>54649</v>
      </c>
      <c r="G4178">
        <v>7312</v>
      </c>
      <c r="H4178" s="9">
        <v>41038</v>
      </c>
    </row>
    <row r="4179" spans="6:8">
      <c r="F4179">
        <v>54650</v>
      </c>
      <c r="G4179">
        <v>7681</v>
      </c>
      <c r="H4179" s="9">
        <v>41038</v>
      </c>
    </row>
    <row r="4180" spans="6:8">
      <c r="F4180">
        <v>54652</v>
      </c>
      <c r="G4180">
        <v>7932</v>
      </c>
      <c r="H4180" s="9">
        <v>41038</v>
      </c>
    </row>
    <row r="4181" spans="6:8">
      <c r="F4181">
        <v>54653</v>
      </c>
      <c r="G4181">
        <v>4876</v>
      </c>
      <c r="H4181" s="9">
        <v>41038</v>
      </c>
    </row>
    <row r="4182" spans="6:8">
      <c r="F4182">
        <v>54660</v>
      </c>
      <c r="G4182">
        <v>1927</v>
      </c>
      <c r="H4182" s="9">
        <v>41038</v>
      </c>
    </row>
    <row r="4183" spans="6:8">
      <c r="F4183">
        <v>54663</v>
      </c>
      <c r="G4183">
        <v>2496</v>
      </c>
      <c r="H4183" s="9">
        <v>41038</v>
      </c>
    </row>
    <row r="4184" spans="6:8">
      <c r="F4184">
        <v>54694</v>
      </c>
      <c r="G4184">
        <v>4427</v>
      </c>
      <c r="H4184" s="9">
        <v>41042</v>
      </c>
    </row>
    <row r="4185" spans="6:8">
      <c r="F4185">
        <v>54738</v>
      </c>
      <c r="G4185">
        <v>1692</v>
      </c>
      <c r="H4185" s="9">
        <v>41044</v>
      </c>
    </row>
    <row r="4186" spans="6:8">
      <c r="F4186">
        <v>54761</v>
      </c>
      <c r="G4186">
        <v>7980</v>
      </c>
      <c r="H4186" s="9">
        <v>41046</v>
      </c>
    </row>
    <row r="4187" spans="6:8">
      <c r="F4187">
        <v>54767</v>
      </c>
      <c r="G4187">
        <v>2944</v>
      </c>
      <c r="H4187" s="9">
        <v>41046</v>
      </c>
    </row>
    <row r="4188" spans="6:8">
      <c r="F4188">
        <v>54808</v>
      </c>
      <c r="G4188">
        <v>2442</v>
      </c>
      <c r="H4188" s="9">
        <v>41046</v>
      </c>
    </row>
    <row r="4189" spans="6:8">
      <c r="F4189">
        <v>54824</v>
      </c>
      <c r="G4189">
        <v>5992</v>
      </c>
      <c r="H4189" s="9">
        <v>41050</v>
      </c>
    </row>
    <row r="4190" spans="6:8">
      <c r="F4190">
        <v>54836</v>
      </c>
      <c r="G4190">
        <v>7320</v>
      </c>
      <c r="H4190" s="9">
        <v>41050</v>
      </c>
    </row>
    <row r="4191" spans="6:8">
      <c r="F4191">
        <v>54839</v>
      </c>
      <c r="G4191">
        <v>3661</v>
      </c>
      <c r="H4191" s="9">
        <v>41050</v>
      </c>
    </row>
    <row r="4192" spans="6:8">
      <c r="F4192">
        <v>54844</v>
      </c>
      <c r="G4192">
        <v>4565</v>
      </c>
      <c r="H4192" s="9">
        <v>41063</v>
      </c>
    </row>
    <row r="4193" spans="6:8">
      <c r="F4193">
        <v>54847</v>
      </c>
      <c r="G4193">
        <v>6660</v>
      </c>
      <c r="H4193" s="9">
        <v>41063</v>
      </c>
    </row>
    <row r="4194" spans="6:8">
      <c r="F4194">
        <v>54849</v>
      </c>
      <c r="G4194">
        <v>7764</v>
      </c>
      <c r="H4194" s="9">
        <v>41063</v>
      </c>
    </row>
    <row r="4195" spans="6:8">
      <c r="F4195">
        <v>54850</v>
      </c>
      <c r="G4195">
        <v>4258</v>
      </c>
      <c r="H4195" s="9">
        <v>41063</v>
      </c>
    </row>
    <row r="4196" spans="6:8">
      <c r="F4196">
        <v>54856</v>
      </c>
      <c r="G4196">
        <v>3159</v>
      </c>
      <c r="H4196" s="9">
        <v>41064</v>
      </c>
    </row>
    <row r="4197" spans="6:8">
      <c r="F4197">
        <v>54857</v>
      </c>
      <c r="G4197">
        <v>3966</v>
      </c>
      <c r="H4197" s="9">
        <v>41064</v>
      </c>
    </row>
    <row r="4198" spans="6:8">
      <c r="F4198">
        <v>54862</v>
      </c>
      <c r="G4198">
        <v>1195</v>
      </c>
      <c r="H4198" s="9">
        <v>41064</v>
      </c>
    </row>
    <row r="4199" spans="6:8">
      <c r="F4199">
        <v>54863</v>
      </c>
      <c r="G4199">
        <v>2615</v>
      </c>
      <c r="H4199" s="9">
        <v>41064</v>
      </c>
    </row>
    <row r="4200" spans="6:8">
      <c r="F4200">
        <v>54867</v>
      </c>
      <c r="G4200">
        <v>2630</v>
      </c>
      <c r="H4200" s="9">
        <v>41064</v>
      </c>
    </row>
    <row r="4201" spans="6:8">
      <c r="F4201">
        <v>54882</v>
      </c>
      <c r="G4201">
        <v>2086</v>
      </c>
      <c r="H4201" s="9">
        <v>41064</v>
      </c>
    </row>
    <row r="4202" spans="6:8">
      <c r="F4202">
        <v>54887</v>
      </c>
      <c r="G4202">
        <v>686</v>
      </c>
      <c r="H4202" s="9">
        <v>41064</v>
      </c>
    </row>
    <row r="4203" spans="6:8">
      <c r="F4203">
        <v>54890</v>
      </c>
      <c r="G4203">
        <v>260</v>
      </c>
      <c r="H4203" s="9">
        <v>41064</v>
      </c>
    </row>
    <row r="4204" spans="6:8">
      <c r="F4204">
        <v>54908</v>
      </c>
      <c r="G4204">
        <v>431</v>
      </c>
      <c r="H4204" s="9">
        <v>41064</v>
      </c>
    </row>
    <row r="4205" spans="6:8">
      <c r="F4205">
        <v>54910</v>
      </c>
      <c r="G4205">
        <v>1584</v>
      </c>
      <c r="H4205" s="9">
        <v>41064</v>
      </c>
    </row>
    <row r="4206" spans="6:8">
      <c r="F4206">
        <v>54916</v>
      </c>
      <c r="G4206">
        <v>1887</v>
      </c>
      <c r="H4206" s="9">
        <v>41051</v>
      </c>
    </row>
    <row r="4207" spans="6:8">
      <c r="F4207">
        <v>54940</v>
      </c>
      <c r="G4207">
        <v>723</v>
      </c>
      <c r="H4207" s="9">
        <v>41051</v>
      </c>
    </row>
    <row r="4208" spans="6:8">
      <c r="F4208">
        <v>54968</v>
      </c>
      <c r="G4208">
        <v>3836</v>
      </c>
      <c r="H4208" s="9">
        <v>41066</v>
      </c>
    </row>
    <row r="4209" spans="6:8">
      <c r="F4209">
        <v>54975</v>
      </c>
      <c r="G4209">
        <v>2407</v>
      </c>
      <c r="H4209" s="9">
        <v>41066</v>
      </c>
    </row>
    <row r="4210" spans="6:8">
      <c r="F4210">
        <v>54986</v>
      </c>
      <c r="G4210">
        <v>617</v>
      </c>
      <c r="H4210" s="9">
        <v>41066</v>
      </c>
    </row>
    <row r="4211" spans="6:8">
      <c r="F4211">
        <v>55003</v>
      </c>
      <c r="G4211">
        <v>6994</v>
      </c>
      <c r="H4211" s="9">
        <v>41066</v>
      </c>
    </row>
    <row r="4212" spans="6:8">
      <c r="F4212">
        <v>55020</v>
      </c>
      <c r="G4212">
        <v>2174</v>
      </c>
      <c r="H4212" s="9">
        <v>41066</v>
      </c>
    </row>
    <row r="4213" spans="6:8">
      <c r="F4213">
        <v>55059</v>
      </c>
      <c r="G4213">
        <v>1659</v>
      </c>
      <c r="H4213" s="9">
        <v>41052</v>
      </c>
    </row>
    <row r="4214" spans="6:8">
      <c r="F4214">
        <v>55067</v>
      </c>
      <c r="G4214">
        <v>1201</v>
      </c>
      <c r="H4214" s="9">
        <v>41068</v>
      </c>
    </row>
    <row r="4215" spans="6:8">
      <c r="F4215">
        <v>55072</v>
      </c>
      <c r="G4215">
        <v>6328</v>
      </c>
      <c r="H4215" s="9">
        <v>41068</v>
      </c>
    </row>
    <row r="4216" spans="6:8">
      <c r="F4216">
        <v>55076</v>
      </c>
      <c r="G4216">
        <v>234</v>
      </c>
      <c r="H4216" s="9">
        <v>41072</v>
      </c>
    </row>
    <row r="4217" spans="6:8">
      <c r="F4217">
        <v>55077</v>
      </c>
      <c r="G4217">
        <v>2413</v>
      </c>
      <c r="H4217" s="9">
        <v>41072</v>
      </c>
    </row>
    <row r="4218" spans="6:8">
      <c r="F4218">
        <v>55080</v>
      </c>
      <c r="G4218">
        <v>2384</v>
      </c>
      <c r="H4218" s="9">
        <v>41072</v>
      </c>
    </row>
    <row r="4219" spans="6:8">
      <c r="F4219">
        <v>55083</v>
      </c>
      <c r="G4219">
        <v>377</v>
      </c>
      <c r="H4219" s="9">
        <v>41072</v>
      </c>
    </row>
    <row r="4220" spans="6:8">
      <c r="F4220">
        <v>55098</v>
      </c>
      <c r="G4220">
        <v>649</v>
      </c>
      <c r="H4220" s="9">
        <v>41065</v>
      </c>
    </row>
    <row r="4221" spans="6:8">
      <c r="F4221">
        <v>55099</v>
      </c>
      <c r="G4221">
        <v>3909</v>
      </c>
      <c r="H4221" s="9">
        <v>41065</v>
      </c>
    </row>
    <row r="4222" spans="6:8">
      <c r="F4222">
        <v>55101</v>
      </c>
      <c r="G4222">
        <v>311</v>
      </c>
      <c r="H4222" s="9">
        <v>41065</v>
      </c>
    </row>
    <row r="4223" spans="6:8">
      <c r="F4223">
        <v>55102</v>
      </c>
      <c r="G4223">
        <v>1379</v>
      </c>
      <c r="H4223" s="9">
        <v>41065</v>
      </c>
    </row>
    <row r="4224" spans="6:8">
      <c r="F4224">
        <v>55103</v>
      </c>
      <c r="G4224">
        <v>6361</v>
      </c>
      <c r="H4224" s="9">
        <v>41065</v>
      </c>
    </row>
    <row r="4225" spans="6:8">
      <c r="F4225">
        <v>55107</v>
      </c>
      <c r="G4225">
        <v>7004</v>
      </c>
      <c r="H4225" s="9">
        <v>41065</v>
      </c>
    </row>
    <row r="4226" spans="6:8">
      <c r="F4226">
        <v>55115</v>
      </c>
      <c r="G4226">
        <v>3437</v>
      </c>
      <c r="H4226" s="9">
        <v>41065</v>
      </c>
    </row>
    <row r="4227" spans="6:8">
      <c r="F4227">
        <v>55147</v>
      </c>
      <c r="G4227">
        <v>3047</v>
      </c>
      <c r="H4227" s="9">
        <v>41065</v>
      </c>
    </row>
    <row r="4228" spans="6:8">
      <c r="F4228">
        <v>55151</v>
      </c>
      <c r="G4228">
        <v>8117</v>
      </c>
      <c r="H4228" s="9">
        <v>41065</v>
      </c>
    </row>
    <row r="4229" spans="6:8">
      <c r="F4229">
        <v>55164</v>
      </c>
      <c r="G4229">
        <v>7673</v>
      </c>
      <c r="H4229" s="9">
        <v>41065</v>
      </c>
    </row>
    <row r="4230" spans="6:8">
      <c r="F4230">
        <v>55178</v>
      </c>
      <c r="G4230">
        <v>7578</v>
      </c>
      <c r="H4230" s="9">
        <v>41065</v>
      </c>
    </row>
    <row r="4231" spans="6:8">
      <c r="F4231">
        <v>55179</v>
      </c>
      <c r="G4231">
        <v>6671</v>
      </c>
      <c r="H4231" s="9">
        <v>41065</v>
      </c>
    </row>
    <row r="4232" spans="6:8">
      <c r="F4232">
        <v>55191</v>
      </c>
      <c r="G4232">
        <v>6236</v>
      </c>
      <c r="H4232" s="9">
        <v>41065</v>
      </c>
    </row>
    <row r="4233" spans="6:8">
      <c r="F4233">
        <v>55200</v>
      </c>
      <c r="G4233">
        <v>8176</v>
      </c>
      <c r="H4233" s="9">
        <v>41072</v>
      </c>
    </row>
    <row r="4234" spans="6:8">
      <c r="F4234">
        <v>55206</v>
      </c>
      <c r="G4234">
        <v>1149</v>
      </c>
      <c r="H4234" s="9">
        <v>41072</v>
      </c>
    </row>
    <row r="4235" spans="6:8">
      <c r="F4235">
        <v>55210</v>
      </c>
      <c r="G4235">
        <v>8177</v>
      </c>
      <c r="H4235" s="9">
        <v>41072</v>
      </c>
    </row>
    <row r="4236" spans="6:8">
      <c r="F4236">
        <v>55214</v>
      </c>
      <c r="G4236">
        <v>4665</v>
      </c>
      <c r="H4236" s="9">
        <v>41072</v>
      </c>
    </row>
    <row r="4237" spans="6:8">
      <c r="F4237">
        <v>55215</v>
      </c>
      <c r="G4237">
        <v>437</v>
      </c>
      <c r="H4237" s="9">
        <v>41072</v>
      </c>
    </row>
    <row r="4238" spans="6:8">
      <c r="F4238">
        <v>55221</v>
      </c>
      <c r="G4238">
        <v>4517</v>
      </c>
      <c r="H4238" s="9">
        <v>41072</v>
      </c>
    </row>
    <row r="4239" spans="6:8">
      <c r="F4239">
        <v>55222</v>
      </c>
      <c r="G4239">
        <v>414</v>
      </c>
      <c r="H4239" s="9">
        <v>41072</v>
      </c>
    </row>
    <row r="4240" spans="6:8">
      <c r="F4240">
        <v>55233</v>
      </c>
      <c r="G4240">
        <v>3094</v>
      </c>
      <c r="H4240" s="9">
        <v>41072</v>
      </c>
    </row>
    <row r="4241" spans="6:8">
      <c r="F4241">
        <v>55250</v>
      </c>
      <c r="G4241">
        <v>8180</v>
      </c>
      <c r="H4241" s="9">
        <v>41072</v>
      </c>
    </row>
    <row r="4242" spans="6:8">
      <c r="F4242">
        <v>55251</v>
      </c>
      <c r="G4242">
        <v>6904</v>
      </c>
      <c r="H4242" s="9">
        <v>41072</v>
      </c>
    </row>
    <row r="4243" spans="6:8">
      <c r="F4243">
        <v>55269</v>
      </c>
      <c r="G4243">
        <v>4087</v>
      </c>
      <c r="H4243" s="9">
        <v>41074</v>
      </c>
    </row>
    <row r="4244" spans="6:8">
      <c r="F4244">
        <v>55294</v>
      </c>
      <c r="G4244">
        <v>1059</v>
      </c>
      <c r="H4244" s="9">
        <v>41077</v>
      </c>
    </row>
    <row r="4245" spans="6:8">
      <c r="F4245">
        <v>55298</v>
      </c>
      <c r="G4245">
        <v>1555</v>
      </c>
      <c r="H4245" s="9">
        <v>41078</v>
      </c>
    </row>
    <row r="4246" spans="6:8">
      <c r="F4246">
        <v>55300</v>
      </c>
      <c r="G4246">
        <v>1299</v>
      </c>
      <c r="H4246" s="9">
        <v>41078</v>
      </c>
    </row>
    <row r="4247" spans="6:8">
      <c r="F4247">
        <v>55326</v>
      </c>
      <c r="G4247">
        <v>7327</v>
      </c>
      <c r="H4247" s="9">
        <v>41079</v>
      </c>
    </row>
    <row r="4248" spans="6:8">
      <c r="F4248">
        <v>55345</v>
      </c>
      <c r="G4248">
        <v>1979</v>
      </c>
      <c r="H4248" s="9">
        <v>41079</v>
      </c>
    </row>
    <row r="4249" spans="6:8">
      <c r="F4249">
        <v>55351</v>
      </c>
      <c r="G4249">
        <v>5317</v>
      </c>
      <c r="H4249" s="9">
        <v>41079</v>
      </c>
    </row>
    <row r="4250" spans="6:8">
      <c r="F4250">
        <v>55356</v>
      </c>
      <c r="G4250">
        <v>2140</v>
      </c>
      <c r="H4250" s="9">
        <v>41079</v>
      </c>
    </row>
    <row r="4251" spans="6:8">
      <c r="F4251">
        <v>55357</v>
      </c>
      <c r="G4251">
        <v>1626</v>
      </c>
      <c r="H4251" s="9">
        <v>41079</v>
      </c>
    </row>
    <row r="4252" spans="6:8">
      <c r="F4252">
        <v>55363</v>
      </c>
      <c r="G4252">
        <v>7146</v>
      </c>
      <c r="H4252" s="9">
        <v>41079</v>
      </c>
    </row>
    <row r="4253" spans="6:8">
      <c r="F4253">
        <v>55370</v>
      </c>
      <c r="G4253">
        <v>3740</v>
      </c>
      <c r="H4253" s="9">
        <v>41079</v>
      </c>
    </row>
    <row r="4254" spans="6:8">
      <c r="F4254">
        <v>55846</v>
      </c>
      <c r="G4254">
        <v>1420</v>
      </c>
      <c r="H4254" s="9">
        <v>41061</v>
      </c>
    </row>
    <row r="4255" spans="6:8">
      <c r="F4255">
        <v>55851</v>
      </c>
      <c r="G4255">
        <v>263</v>
      </c>
      <c r="H4255" s="9">
        <v>41061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13495-76F4-44A6-86F1-2EF0E8BEAE30}">
  <dimension ref="A1:S27"/>
  <sheetViews>
    <sheetView workbookViewId="0">
      <selection activeCell="J13" sqref="J13"/>
    </sheetView>
  </sheetViews>
  <sheetFormatPr defaultRowHeight="14.4"/>
  <cols>
    <col min="3" max="3" width="13.88671875" style="18" customWidth="1"/>
    <col min="5" max="5" width="11" bestFit="1" customWidth="1"/>
    <col min="6" max="7" width="8.88671875" bestFit="1" customWidth="1"/>
    <col min="9" max="9" width="17.77734375" style="10" customWidth="1"/>
    <col min="10" max="10" width="15.21875" customWidth="1"/>
    <col min="11" max="11" width="12.44140625" style="2" customWidth="1"/>
    <col min="13" max="13" width="16.21875" style="10" customWidth="1"/>
    <col min="14" max="14" width="10.109375" bestFit="1" customWidth="1"/>
  </cols>
  <sheetData>
    <row r="1" spans="1:19" ht="15.6">
      <c r="C1" s="17"/>
      <c r="D1" s="38" t="s">
        <v>99</v>
      </c>
      <c r="E1" s="8" t="s">
        <v>2</v>
      </c>
      <c r="F1" s="8" t="s">
        <v>6</v>
      </c>
      <c r="G1" s="8" t="s">
        <v>1</v>
      </c>
      <c r="I1" s="42" t="s">
        <v>42</v>
      </c>
      <c r="J1" s="42"/>
      <c r="K1" s="42"/>
      <c r="M1" s="43" t="s">
        <v>41</v>
      </c>
      <c r="N1" s="44"/>
      <c r="R1" s="34"/>
      <c r="S1" s="34"/>
    </row>
    <row r="2" spans="1:19" ht="15.6">
      <c r="A2">
        <v>59480</v>
      </c>
      <c r="C2" s="17">
        <v>46105</v>
      </c>
      <c r="D2" s="3"/>
      <c r="E2" s="39">
        <v>6000</v>
      </c>
      <c r="F2" s="32"/>
      <c r="G2" s="32"/>
      <c r="I2" s="19">
        <v>46090</v>
      </c>
      <c r="J2" s="3" t="s">
        <v>38</v>
      </c>
      <c r="K2" s="32">
        <v>11000</v>
      </c>
      <c r="L2">
        <f>K2/550</f>
        <v>20</v>
      </c>
      <c r="M2" s="17">
        <v>46105</v>
      </c>
      <c r="N2" s="32">
        <v>6000</v>
      </c>
      <c r="R2" s="35"/>
      <c r="S2" s="34"/>
    </row>
    <row r="3" spans="1:19" ht="15.6">
      <c r="C3" s="17">
        <v>46106</v>
      </c>
      <c r="D3" s="3"/>
      <c r="E3" s="36"/>
      <c r="F3" s="32">
        <v>44400</v>
      </c>
      <c r="G3" s="32">
        <v>17500</v>
      </c>
      <c r="I3" s="19">
        <v>46119</v>
      </c>
      <c r="J3" s="3" t="s">
        <v>39</v>
      </c>
      <c r="K3" s="32">
        <v>21450</v>
      </c>
      <c r="L3">
        <f t="shared" ref="L3" si="0">K3/550</f>
        <v>39</v>
      </c>
      <c r="M3" s="17">
        <v>46113</v>
      </c>
      <c r="N3" s="32">
        <v>5000</v>
      </c>
      <c r="R3" s="34"/>
      <c r="S3" s="34"/>
    </row>
    <row r="4" spans="1:19" ht="15.6">
      <c r="C4" s="17">
        <v>46113</v>
      </c>
      <c r="D4" s="3"/>
      <c r="E4" s="39">
        <v>5000</v>
      </c>
      <c r="F4" s="32"/>
      <c r="G4" s="32"/>
      <c r="I4" s="19">
        <v>46170</v>
      </c>
      <c r="J4" s="3" t="s">
        <v>40</v>
      </c>
      <c r="K4" s="32">
        <v>37400</v>
      </c>
      <c r="M4" s="17" t="s">
        <v>29</v>
      </c>
      <c r="N4" s="32">
        <v>11000</v>
      </c>
      <c r="R4" s="34"/>
      <c r="S4" s="34"/>
    </row>
    <row r="5" spans="1:19" ht="15.6">
      <c r="C5" s="17">
        <v>46136</v>
      </c>
      <c r="D5" s="3"/>
      <c r="E5" s="39"/>
      <c r="F5" s="32">
        <v>42800</v>
      </c>
      <c r="G5" s="32">
        <v>17500</v>
      </c>
      <c r="I5" s="19">
        <v>46192</v>
      </c>
      <c r="J5" s="3" t="s">
        <v>43</v>
      </c>
      <c r="K5" s="32">
        <v>9800</v>
      </c>
      <c r="L5">
        <f>K5/550</f>
        <v>17.818181818181817</v>
      </c>
      <c r="M5" s="17">
        <v>46176</v>
      </c>
      <c r="N5" s="32">
        <v>10450</v>
      </c>
      <c r="R5" s="34"/>
      <c r="S5" s="34"/>
    </row>
    <row r="6" spans="1:19" ht="15.6">
      <c r="C6" s="17" t="s">
        <v>29</v>
      </c>
      <c r="D6" s="3"/>
      <c r="E6" s="39">
        <v>11000</v>
      </c>
      <c r="F6" s="32"/>
      <c r="G6" s="32"/>
      <c r="I6" s="19">
        <v>46203</v>
      </c>
      <c r="J6" s="3" t="s">
        <v>45</v>
      </c>
      <c r="K6" s="32">
        <v>21450</v>
      </c>
      <c r="M6" s="19">
        <v>46192</v>
      </c>
      <c r="N6" s="32">
        <v>10000</v>
      </c>
      <c r="R6" s="34"/>
      <c r="S6" s="34"/>
    </row>
    <row r="7" spans="1:19" ht="15.6">
      <c r="C7" s="17" t="s">
        <v>30</v>
      </c>
      <c r="D7" s="3"/>
      <c r="E7" s="39"/>
      <c r="F7" s="32">
        <v>42800</v>
      </c>
      <c r="G7" s="32">
        <v>17500</v>
      </c>
      <c r="I7" s="19">
        <v>46231</v>
      </c>
      <c r="J7" s="3" t="s">
        <v>93</v>
      </c>
      <c r="K7" s="32">
        <v>18700</v>
      </c>
      <c r="L7">
        <f>K7/550</f>
        <v>34</v>
      </c>
      <c r="M7" s="17">
        <v>46198</v>
      </c>
      <c r="N7" s="32">
        <v>10000</v>
      </c>
      <c r="R7" s="34"/>
      <c r="S7" s="34"/>
    </row>
    <row r="8" spans="1:19" ht="15.6">
      <c r="C8" s="17">
        <v>46176</v>
      </c>
      <c r="D8" s="3"/>
      <c r="E8" s="39">
        <v>10450</v>
      </c>
      <c r="F8" s="32"/>
      <c r="G8" s="32"/>
      <c r="I8" s="19">
        <v>46234</v>
      </c>
      <c r="J8" s="3" t="s">
        <v>94</v>
      </c>
      <c r="K8" s="32">
        <v>291.5</v>
      </c>
      <c r="M8" s="19">
        <v>46226</v>
      </c>
      <c r="N8" s="32">
        <v>10000</v>
      </c>
      <c r="R8" s="34"/>
      <c r="S8" s="34"/>
    </row>
    <row r="9" spans="1:19" ht="15.6">
      <c r="C9" s="19">
        <v>46192</v>
      </c>
      <c r="D9" s="3"/>
      <c r="E9" s="39">
        <v>10000</v>
      </c>
      <c r="F9" s="32"/>
      <c r="G9" s="32"/>
      <c r="I9" s="19">
        <v>46265</v>
      </c>
      <c r="J9" s="3" t="s">
        <v>100</v>
      </c>
      <c r="K9" s="32">
        <v>18700</v>
      </c>
      <c r="M9" s="17">
        <v>46230</v>
      </c>
      <c r="N9" s="32">
        <v>7400</v>
      </c>
      <c r="R9" s="34"/>
      <c r="S9" s="34"/>
    </row>
    <row r="10" spans="1:19" ht="15.6">
      <c r="C10" s="17">
        <v>46198</v>
      </c>
      <c r="D10" s="3"/>
      <c r="E10" s="39">
        <v>10000</v>
      </c>
      <c r="F10" s="32">
        <v>14200</v>
      </c>
      <c r="G10" s="32">
        <v>17500</v>
      </c>
      <c r="I10" s="19">
        <v>46265</v>
      </c>
      <c r="J10" s="3" t="s">
        <v>101</v>
      </c>
      <c r="K10" s="32">
        <v>291.5</v>
      </c>
      <c r="M10" s="17">
        <v>46230</v>
      </c>
      <c r="N10" s="32">
        <v>9800</v>
      </c>
      <c r="R10" s="34"/>
      <c r="S10" s="34"/>
    </row>
    <row r="11" spans="1:19" ht="15.6">
      <c r="C11" s="19">
        <v>46226</v>
      </c>
      <c r="D11" s="3"/>
      <c r="E11" s="39">
        <v>10000</v>
      </c>
      <c r="F11" s="32"/>
      <c r="G11" s="32"/>
      <c r="I11" s="19">
        <v>46295</v>
      </c>
      <c r="J11" s="3" t="s">
        <v>102</v>
      </c>
      <c r="K11" s="32">
        <v>18700</v>
      </c>
      <c r="M11" s="17">
        <v>46252</v>
      </c>
      <c r="N11" s="32">
        <v>14000</v>
      </c>
      <c r="R11" s="34"/>
      <c r="S11" s="34"/>
    </row>
    <row r="12" spans="1:19" ht="15.6">
      <c r="C12" s="17">
        <v>46230</v>
      </c>
      <c r="D12" s="3"/>
      <c r="E12" s="39">
        <v>7400</v>
      </c>
      <c r="F12" s="32"/>
      <c r="G12" s="32"/>
      <c r="I12" s="19">
        <v>46295</v>
      </c>
      <c r="J12" s="3" t="s">
        <v>103</v>
      </c>
      <c r="K12" s="32">
        <v>291.5</v>
      </c>
      <c r="M12" s="17">
        <v>46282</v>
      </c>
      <c r="N12" s="32">
        <v>7450</v>
      </c>
      <c r="R12" s="34"/>
      <c r="S12" s="34"/>
    </row>
    <row r="13" spans="1:19" ht="15.6">
      <c r="C13" s="17">
        <v>46230</v>
      </c>
      <c r="D13" s="3"/>
      <c r="E13" s="39">
        <v>9800</v>
      </c>
      <c r="F13" s="32"/>
      <c r="G13" s="32"/>
      <c r="I13" s="20"/>
      <c r="J13" s="3"/>
      <c r="K13" s="32"/>
      <c r="M13" s="17">
        <v>46295</v>
      </c>
      <c r="N13" s="32">
        <v>7000</v>
      </c>
      <c r="R13" s="34"/>
      <c r="S13" s="34"/>
    </row>
    <row r="14" spans="1:19" ht="15.6">
      <c r="C14" s="17">
        <v>46231</v>
      </c>
      <c r="D14" s="3"/>
      <c r="E14" s="39"/>
      <c r="F14" s="32">
        <v>13800</v>
      </c>
      <c r="G14" s="32">
        <v>17500</v>
      </c>
      <c r="I14" s="20"/>
      <c r="J14" s="3"/>
      <c r="K14" s="5"/>
      <c r="M14" s="17"/>
      <c r="N14" s="32"/>
      <c r="P14" s="2">
        <f>K27-N27</f>
        <v>49974.5</v>
      </c>
      <c r="R14" s="34"/>
      <c r="S14" s="34"/>
    </row>
    <row r="15" spans="1:19" ht="15.6">
      <c r="C15" s="17">
        <v>46252</v>
      </c>
      <c r="D15" s="3"/>
      <c r="E15" s="32">
        <v>14000</v>
      </c>
      <c r="F15" s="32"/>
      <c r="G15" s="32"/>
      <c r="I15" s="20"/>
      <c r="J15" s="3"/>
      <c r="K15" s="5"/>
      <c r="M15" s="20"/>
      <c r="N15" s="32"/>
      <c r="R15" s="34"/>
      <c r="S15" s="34"/>
    </row>
    <row r="16" spans="1:19" ht="15.6">
      <c r="C16" s="17">
        <v>46259</v>
      </c>
      <c r="D16" s="32">
        <v>34650</v>
      </c>
      <c r="E16" s="39"/>
      <c r="F16" s="32"/>
      <c r="G16" s="32"/>
      <c r="I16" s="20"/>
      <c r="J16" s="3"/>
      <c r="K16" s="5"/>
      <c r="M16" s="20"/>
      <c r="N16" s="32"/>
      <c r="R16" s="34"/>
      <c r="S16" s="34"/>
    </row>
    <row r="17" spans="3:14">
      <c r="C17" s="17">
        <v>46282</v>
      </c>
      <c r="D17" s="3"/>
      <c r="E17" s="32">
        <v>7450</v>
      </c>
      <c r="F17" s="3"/>
      <c r="G17" s="3"/>
      <c r="I17" s="20"/>
      <c r="J17" s="3"/>
      <c r="K17" s="5"/>
      <c r="M17" s="20"/>
      <c r="N17" s="32"/>
    </row>
    <row r="18" spans="3:14">
      <c r="C18" s="17">
        <v>46287</v>
      </c>
      <c r="D18" s="3"/>
      <c r="E18" s="40"/>
      <c r="F18" s="3">
        <v>17000</v>
      </c>
      <c r="G18" s="3">
        <v>8000</v>
      </c>
      <c r="I18" s="20"/>
      <c r="J18" s="3"/>
      <c r="K18" s="5"/>
      <c r="M18" s="20"/>
      <c r="N18" s="32"/>
    </row>
    <row r="19" spans="3:14">
      <c r="C19" s="17">
        <v>46295</v>
      </c>
      <c r="D19" s="3"/>
      <c r="E19" s="41">
        <v>7000</v>
      </c>
      <c r="F19" s="3"/>
      <c r="G19" s="3"/>
      <c r="I19" s="20"/>
      <c r="J19" s="3"/>
      <c r="K19" s="5"/>
      <c r="M19" s="20"/>
      <c r="N19" s="32"/>
    </row>
    <row r="20" spans="3:14">
      <c r="C20" s="17"/>
      <c r="D20" s="3"/>
      <c r="E20" s="40"/>
      <c r="F20" s="3"/>
      <c r="G20" s="3"/>
      <c r="I20" s="20"/>
      <c r="J20" s="3"/>
      <c r="K20" s="5"/>
      <c r="M20" s="20"/>
      <c r="N20" s="32"/>
    </row>
    <row r="21" spans="3:14">
      <c r="C21" s="17"/>
      <c r="D21" s="3"/>
      <c r="E21" s="40"/>
      <c r="F21" s="3"/>
      <c r="G21" s="3"/>
      <c r="I21" s="20"/>
      <c r="J21" s="3"/>
      <c r="K21" s="5"/>
      <c r="M21" s="20"/>
      <c r="N21" s="32"/>
    </row>
    <row r="22" spans="3:14">
      <c r="C22" s="17"/>
      <c r="D22" s="3"/>
      <c r="E22" s="40"/>
      <c r="F22" s="3"/>
      <c r="G22" s="3"/>
      <c r="I22" s="20"/>
      <c r="J22" s="3"/>
      <c r="K22" s="5"/>
      <c r="M22" s="20"/>
      <c r="N22" s="32"/>
    </row>
    <row r="23" spans="3:14">
      <c r="C23" s="17"/>
      <c r="D23" s="3"/>
      <c r="E23" s="40"/>
      <c r="F23" s="3"/>
      <c r="G23" s="3"/>
      <c r="I23" s="20"/>
      <c r="J23" s="3"/>
      <c r="K23" s="5"/>
      <c r="M23" s="20"/>
      <c r="N23" s="32"/>
    </row>
    <row r="24" spans="3:14">
      <c r="C24" s="17"/>
      <c r="D24" s="3"/>
      <c r="E24" s="40"/>
      <c r="F24" s="3"/>
      <c r="G24" s="3"/>
      <c r="I24" s="20"/>
      <c r="J24" s="3"/>
      <c r="K24" s="5"/>
      <c r="M24" s="20"/>
      <c r="N24" s="32"/>
    </row>
    <row r="25" spans="3:14">
      <c r="C25" s="17"/>
      <c r="D25" s="3"/>
      <c r="E25" s="40"/>
      <c r="F25" s="3"/>
      <c r="G25" s="3"/>
      <c r="I25" s="20"/>
      <c r="J25" s="3"/>
      <c r="K25" s="5"/>
      <c r="M25" s="20"/>
      <c r="N25" s="32"/>
    </row>
    <row r="26" spans="3:14">
      <c r="C26" s="17"/>
      <c r="D26" s="3"/>
      <c r="E26" s="40"/>
      <c r="F26" s="3"/>
      <c r="G26" s="3"/>
      <c r="I26" s="20"/>
      <c r="J26" s="3"/>
      <c r="K26" s="5"/>
      <c r="M26" s="20"/>
      <c r="N26" s="32"/>
    </row>
    <row r="27" spans="3:14">
      <c r="D27">
        <f>SUM(D2:D26)</f>
        <v>34650</v>
      </c>
      <c r="E27" s="21">
        <f>SUM(E2:E17)</f>
        <v>101100</v>
      </c>
      <c r="F27" s="21">
        <f>SUM(F2:F16)</f>
        <v>158000</v>
      </c>
      <c r="G27" s="21">
        <f>SUM(G2:G16)</f>
        <v>87500</v>
      </c>
      <c r="H27" s="21">
        <f>SUM(D27:G27)</f>
        <v>381250</v>
      </c>
      <c r="K27" s="37">
        <f>SUM(K2:K13)</f>
        <v>158074.5</v>
      </c>
      <c r="N27" s="37">
        <f>SUM(N2:N13)</f>
        <v>108100</v>
      </c>
    </row>
  </sheetData>
  <mergeCells count="2">
    <mergeCell ref="I1:K1"/>
    <mergeCell ref="M1:N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50D6-39CA-4555-B7BD-12504A33D1C5}">
  <dimension ref="B1:P44"/>
  <sheetViews>
    <sheetView tabSelected="1" topLeftCell="A13" workbookViewId="0">
      <selection activeCell="H44" sqref="H44"/>
    </sheetView>
  </sheetViews>
  <sheetFormatPr defaultRowHeight="14.4"/>
  <cols>
    <col min="7" max="7" width="37" customWidth="1"/>
    <col min="8" max="8" width="61" customWidth="1"/>
    <col min="9" max="9" width="15.77734375" customWidth="1"/>
    <col min="10" max="10" width="18.44140625" customWidth="1"/>
    <col min="15" max="15" width="9.21875" bestFit="1" customWidth="1"/>
    <col min="16" max="17" width="15.21875" customWidth="1"/>
  </cols>
  <sheetData>
    <row r="1" spans="2:15">
      <c r="B1" s="22"/>
      <c r="C1" s="22"/>
      <c r="D1" s="22"/>
      <c r="E1" s="22"/>
      <c r="F1" s="22" t="s">
        <v>50</v>
      </c>
      <c r="G1" s="22" t="s">
        <v>46</v>
      </c>
      <c r="H1" s="23" t="s">
        <v>47</v>
      </c>
      <c r="I1" s="23"/>
      <c r="J1" s="23" t="s">
        <v>50</v>
      </c>
      <c r="K1" s="23"/>
      <c r="L1" s="23"/>
      <c r="M1" s="23"/>
      <c r="N1" s="23"/>
      <c r="O1" s="3"/>
    </row>
    <row r="2" spans="2:15">
      <c r="B2" s="22"/>
      <c r="C2" s="22"/>
      <c r="D2" s="22"/>
      <c r="E2" s="22"/>
      <c r="F2" s="22">
        <v>65</v>
      </c>
      <c r="G2" s="22">
        <v>100</v>
      </c>
      <c r="H2" s="23">
        <v>88</v>
      </c>
      <c r="I2" s="23" t="s">
        <v>48</v>
      </c>
      <c r="J2" s="23">
        <v>100</v>
      </c>
      <c r="K2" s="23"/>
      <c r="L2" s="23"/>
      <c r="M2" s="23"/>
      <c r="N2" s="23"/>
      <c r="O2" s="3"/>
    </row>
    <row r="3" spans="2:15">
      <c r="B3" s="22"/>
      <c r="C3" s="22"/>
      <c r="D3" s="22"/>
      <c r="E3" s="22"/>
      <c r="F3" s="22"/>
      <c r="G3" s="22">
        <v>101</v>
      </c>
      <c r="H3" s="23">
        <v>88</v>
      </c>
      <c r="I3" s="23" t="s">
        <v>49</v>
      </c>
      <c r="J3" s="23">
        <v>50</v>
      </c>
      <c r="K3" s="23"/>
      <c r="L3" s="23"/>
      <c r="M3" s="23"/>
      <c r="N3" s="23"/>
      <c r="O3" s="3"/>
    </row>
    <row r="4" spans="2:15">
      <c r="B4" s="22"/>
      <c r="C4" s="22"/>
      <c r="D4" s="22"/>
      <c r="E4" s="22"/>
      <c r="F4" s="22">
        <v>35</v>
      </c>
      <c r="G4" s="22">
        <v>107</v>
      </c>
      <c r="H4" s="23">
        <v>88</v>
      </c>
      <c r="I4" s="23"/>
      <c r="J4" s="23"/>
      <c r="K4" s="23"/>
      <c r="L4" s="23"/>
      <c r="M4" s="23"/>
      <c r="N4" s="23"/>
      <c r="O4" s="3"/>
    </row>
    <row r="5" spans="2:15">
      <c r="B5" s="22"/>
      <c r="C5" s="22"/>
      <c r="D5" s="22"/>
      <c r="E5" s="22"/>
      <c r="F5" s="22"/>
      <c r="G5" s="22"/>
      <c r="H5" s="23"/>
      <c r="I5" s="23"/>
      <c r="J5" s="23"/>
      <c r="K5" s="23"/>
      <c r="L5" s="23"/>
      <c r="M5" s="23"/>
      <c r="N5" s="23"/>
      <c r="O5" s="3"/>
    </row>
    <row r="6" spans="2:15">
      <c r="B6" s="22"/>
      <c r="C6" s="22"/>
      <c r="D6" s="22"/>
      <c r="E6" s="22"/>
      <c r="F6" s="22"/>
      <c r="G6" s="22"/>
      <c r="H6" s="23"/>
      <c r="I6" s="23"/>
      <c r="J6" s="23"/>
      <c r="K6" s="23"/>
      <c r="L6" s="23"/>
      <c r="M6" s="23"/>
      <c r="N6" s="23"/>
      <c r="O6" s="3"/>
    </row>
    <row r="7" spans="2:15">
      <c r="B7" s="22"/>
      <c r="C7" s="22"/>
      <c r="D7" s="22"/>
      <c r="E7" s="22"/>
      <c r="F7" s="22"/>
      <c r="G7" s="22"/>
      <c r="H7" s="23"/>
      <c r="I7" s="23"/>
      <c r="J7" s="23"/>
      <c r="K7" s="23"/>
      <c r="L7" s="23"/>
      <c r="M7" s="23"/>
      <c r="N7" s="23"/>
      <c r="O7" s="3"/>
    </row>
    <row r="8" spans="2:15">
      <c r="B8" s="22"/>
      <c r="C8" s="22"/>
      <c r="D8" s="22"/>
      <c r="E8" s="22"/>
      <c r="F8" s="22"/>
      <c r="G8" s="22"/>
      <c r="H8" s="23"/>
      <c r="I8" s="23"/>
      <c r="J8" s="23"/>
      <c r="K8" s="23"/>
      <c r="L8" s="23"/>
      <c r="M8" s="23"/>
      <c r="N8" s="23"/>
      <c r="O8" s="3"/>
    </row>
    <row r="9" spans="2:15">
      <c r="B9" s="22"/>
      <c r="C9" s="22"/>
      <c r="D9" s="22"/>
      <c r="E9" s="22"/>
      <c r="F9" s="22"/>
      <c r="G9" s="22"/>
      <c r="H9" s="23"/>
      <c r="I9" s="23"/>
      <c r="J9" s="23"/>
      <c r="K9" s="23"/>
      <c r="L9" s="23"/>
      <c r="M9" s="23"/>
      <c r="N9" s="23"/>
      <c r="O9" s="3"/>
    </row>
    <row r="10" spans="2:15">
      <c r="B10" s="22"/>
      <c r="C10" s="22"/>
      <c r="D10" s="22"/>
      <c r="E10" s="22"/>
      <c r="F10" s="22"/>
      <c r="G10" s="22"/>
      <c r="H10" s="23"/>
      <c r="I10" s="23"/>
      <c r="J10" s="23"/>
      <c r="K10" s="23"/>
      <c r="L10" s="23"/>
      <c r="M10" s="23"/>
      <c r="N10" s="23"/>
      <c r="O10" s="3"/>
    </row>
    <row r="11" spans="2:15">
      <c r="B11" s="22"/>
      <c r="C11" s="22"/>
      <c r="D11" s="22"/>
      <c r="E11" s="22"/>
      <c r="F11" s="22"/>
      <c r="G11" s="22"/>
      <c r="H11" s="23"/>
      <c r="I11" s="23"/>
      <c r="J11" s="23"/>
      <c r="K11" s="23"/>
      <c r="L11" s="23"/>
      <c r="M11" s="23"/>
      <c r="N11" s="23"/>
      <c r="O11" s="3"/>
    </row>
    <row r="12" spans="2:1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2:15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2:1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6" spans="2:15" ht="15.6">
      <c r="G16" s="27" t="s">
        <v>51</v>
      </c>
      <c r="H16" s="25" t="s">
        <v>55</v>
      </c>
      <c r="I16" s="26" t="s">
        <v>59</v>
      </c>
      <c r="J16" s="28"/>
      <c r="K16" s="25"/>
    </row>
    <row r="17" spans="7:16" ht="15.6">
      <c r="G17" s="27" t="s">
        <v>53</v>
      </c>
      <c r="H17" s="25" t="s">
        <v>55</v>
      </c>
      <c r="I17" s="26" t="s">
        <v>59</v>
      </c>
      <c r="J17" s="25"/>
      <c r="K17" s="25"/>
    </row>
    <row r="18" spans="7:16" ht="15.6">
      <c r="G18" s="25"/>
      <c r="H18" s="25"/>
      <c r="I18" s="25"/>
      <c r="J18" s="25"/>
      <c r="K18" s="25"/>
    </row>
    <row r="19" spans="7:16" ht="15.6">
      <c r="G19" s="27" t="s">
        <v>52</v>
      </c>
      <c r="H19" s="26" t="s">
        <v>57</v>
      </c>
      <c r="I19" s="26" t="s">
        <v>56</v>
      </c>
      <c r="J19" s="26" t="s">
        <v>58</v>
      </c>
      <c r="K19" s="26" t="s">
        <v>60</v>
      </c>
    </row>
    <row r="20" spans="7:16" ht="15.6">
      <c r="G20" s="27" t="s">
        <v>54</v>
      </c>
      <c r="H20" s="26" t="s">
        <v>57</v>
      </c>
      <c r="I20" s="26" t="s">
        <v>56</v>
      </c>
      <c r="J20" s="26" t="s">
        <v>58</v>
      </c>
      <c r="K20" s="26" t="s">
        <v>60</v>
      </c>
      <c r="P20" s="29"/>
    </row>
    <row r="21" spans="7:16">
      <c r="O21" s="29"/>
      <c r="P21" s="29"/>
    </row>
    <row r="22" spans="7:16">
      <c r="O22" s="29"/>
      <c r="P22" s="29"/>
    </row>
    <row r="23" spans="7:16">
      <c r="O23" s="29"/>
      <c r="P23" s="29"/>
    </row>
    <row r="24" spans="7:16">
      <c r="G24" s="24" t="s">
        <v>61</v>
      </c>
      <c r="O24" s="29"/>
      <c r="P24" s="29"/>
    </row>
    <row r="25" spans="7:16">
      <c r="G25" s="24" t="s">
        <v>62</v>
      </c>
      <c r="O25" s="29"/>
      <c r="P25" s="29"/>
    </row>
    <row r="26" spans="7:16">
      <c r="G26" t="s">
        <v>63</v>
      </c>
      <c r="O26" s="29"/>
      <c r="P26" s="29"/>
    </row>
    <row r="27" spans="7:16">
      <c r="O27" s="29"/>
      <c r="P27" s="29"/>
    </row>
    <row r="28" spans="7:16">
      <c r="G28" t="s">
        <v>86</v>
      </c>
      <c r="H28" s="24" t="s">
        <v>61</v>
      </c>
      <c r="O28" s="29"/>
      <c r="P28" s="29"/>
    </row>
    <row r="29" spans="7:16">
      <c r="H29" s="24" t="s">
        <v>62</v>
      </c>
      <c r="O29" s="29"/>
      <c r="P29" s="29"/>
    </row>
    <row r="30" spans="7:16">
      <c r="H30" t="s">
        <v>63</v>
      </c>
      <c r="O30" s="29"/>
      <c r="P30" s="29"/>
    </row>
    <row r="31" spans="7:16">
      <c r="O31" s="29"/>
      <c r="P31" s="29"/>
    </row>
    <row r="32" spans="7:16">
      <c r="H32" s="24" t="s">
        <v>87</v>
      </c>
      <c r="P32" s="29"/>
    </row>
    <row r="33" spans="7:16">
      <c r="H33" s="24" t="s">
        <v>88</v>
      </c>
      <c r="P33" s="29"/>
    </row>
    <row r="34" spans="7:16">
      <c r="H34" t="s">
        <v>89</v>
      </c>
      <c r="P34" s="29"/>
    </row>
    <row r="35" spans="7:16">
      <c r="P35" s="29"/>
    </row>
    <row r="36" spans="7:16">
      <c r="G36" t="s">
        <v>92</v>
      </c>
      <c r="P36" s="29"/>
    </row>
    <row r="37" spans="7:16">
      <c r="G37" t="s">
        <v>90</v>
      </c>
      <c r="P37" s="29"/>
    </row>
    <row r="38" spans="7:16">
      <c r="G38" t="s">
        <v>91</v>
      </c>
    </row>
    <row r="41" spans="7:16">
      <c r="G41" s="47" t="s">
        <v>104</v>
      </c>
      <c r="H41" t="s">
        <v>105</v>
      </c>
    </row>
    <row r="42" spans="7:16">
      <c r="G42" s="48" t="s">
        <v>106</v>
      </c>
      <c r="H42" s="48"/>
    </row>
    <row r="43" spans="7:16">
      <c r="G43" s="49" t="s">
        <v>107</v>
      </c>
      <c r="H43" t="s">
        <v>108</v>
      </c>
      <c r="P43" s="29"/>
    </row>
    <row r="44" spans="7:16">
      <c r="G44" s="47" t="s">
        <v>109</v>
      </c>
      <c r="H44" t="s">
        <v>110</v>
      </c>
    </row>
  </sheetData>
  <mergeCells count="1">
    <mergeCell ref="G42:H4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0A82-03A2-4395-983D-64DB0911A0B6}">
  <dimension ref="A1:P32"/>
  <sheetViews>
    <sheetView topLeftCell="A10" workbookViewId="0">
      <selection activeCell="F11" sqref="F11"/>
    </sheetView>
  </sheetViews>
  <sheetFormatPr defaultRowHeight="14.4"/>
  <cols>
    <col min="1" max="1" width="10.33203125" customWidth="1"/>
    <col min="5" max="5" width="20.6640625" customWidth="1"/>
    <col min="6" max="7" width="8.77734375" style="2"/>
    <col min="9" max="9" width="19" customWidth="1"/>
    <col min="16" max="16" width="13.77734375" customWidth="1"/>
  </cols>
  <sheetData>
    <row r="1" spans="1:16">
      <c r="A1" s="11" t="s">
        <v>26</v>
      </c>
      <c r="B1" s="12">
        <v>22000</v>
      </c>
      <c r="C1" s="13"/>
      <c r="D1" s="13"/>
      <c r="E1" s="13" t="s">
        <v>35</v>
      </c>
      <c r="F1" s="12">
        <v>6500</v>
      </c>
      <c r="H1" s="12">
        <v>6500</v>
      </c>
      <c r="P1" t="s">
        <v>98</v>
      </c>
    </row>
    <row r="2" spans="1:16">
      <c r="A2" s="11" t="s">
        <v>4</v>
      </c>
      <c r="B2" s="12">
        <v>2500</v>
      </c>
      <c r="C2" s="13"/>
      <c r="D2" s="13"/>
      <c r="E2" s="13" t="s">
        <v>14</v>
      </c>
      <c r="F2" s="12">
        <v>1009</v>
      </c>
      <c r="H2" s="12"/>
    </row>
    <row r="3" spans="1:16">
      <c r="A3" s="11" t="s">
        <v>5</v>
      </c>
      <c r="B3" s="12">
        <v>4000</v>
      </c>
      <c r="C3" s="13"/>
      <c r="D3" s="13"/>
      <c r="E3" s="13" t="s">
        <v>32</v>
      </c>
      <c r="F3" s="12">
        <v>1200</v>
      </c>
      <c r="H3" s="12">
        <v>1200</v>
      </c>
      <c r="M3" t="s">
        <v>95</v>
      </c>
      <c r="N3">
        <v>110000</v>
      </c>
    </row>
    <row r="4" spans="1:16">
      <c r="A4" s="11" t="s">
        <v>2</v>
      </c>
      <c r="B4" s="12">
        <v>14000</v>
      </c>
      <c r="C4" s="13"/>
      <c r="D4" s="13"/>
      <c r="E4" s="13" t="s">
        <v>15</v>
      </c>
      <c r="F4" s="12">
        <v>3600</v>
      </c>
      <c r="J4" s="12">
        <v>3600</v>
      </c>
      <c r="M4" t="s">
        <v>97</v>
      </c>
      <c r="N4">
        <f>B6</f>
        <v>10000</v>
      </c>
      <c r="P4">
        <f>N3/N4</f>
        <v>11</v>
      </c>
    </row>
    <row r="5" spans="1:16">
      <c r="A5" s="11"/>
      <c r="B5" s="14"/>
      <c r="C5" s="13"/>
      <c r="D5" s="13"/>
      <c r="E5" s="13" t="s">
        <v>16</v>
      </c>
      <c r="F5" s="12">
        <v>390</v>
      </c>
      <c r="H5" s="12"/>
    </row>
    <row r="6" spans="1:16">
      <c r="A6" s="11" t="s">
        <v>96</v>
      </c>
      <c r="B6" s="11">
        <v>10000</v>
      </c>
      <c r="C6" s="13"/>
      <c r="D6" s="13"/>
      <c r="E6" s="13" t="s">
        <v>34</v>
      </c>
      <c r="F6" s="12">
        <v>800</v>
      </c>
      <c r="H6" s="12"/>
    </row>
    <row r="7" spans="1:16">
      <c r="A7" s="11"/>
      <c r="B7" s="13"/>
      <c r="C7" s="13"/>
      <c r="D7" s="13"/>
      <c r="E7" s="13" t="s">
        <v>37</v>
      </c>
      <c r="F7" s="12">
        <v>1200</v>
      </c>
      <c r="H7" s="12"/>
    </row>
    <row r="8" spans="1:16">
      <c r="A8" s="11"/>
      <c r="B8" s="13"/>
      <c r="C8" s="13"/>
      <c r="D8" s="13"/>
      <c r="E8" s="13" t="s">
        <v>31</v>
      </c>
      <c r="F8" s="12">
        <v>200</v>
      </c>
      <c r="J8" s="12">
        <v>200</v>
      </c>
    </row>
    <row r="9" spans="1:16">
      <c r="A9" s="11"/>
      <c r="B9" s="13"/>
      <c r="C9" s="13"/>
      <c r="D9" s="13"/>
      <c r="E9" s="13" t="s">
        <v>19</v>
      </c>
      <c r="F9" s="12">
        <v>13900</v>
      </c>
      <c r="H9" s="12">
        <v>13900</v>
      </c>
    </row>
    <row r="10" spans="1:16">
      <c r="A10" s="11"/>
      <c r="B10" s="13"/>
      <c r="C10" s="13"/>
      <c r="D10" s="13"/>
      <c r="E10" s="13" t="s">
        <v>44</v>
      </c>
      <c r="F10" s="12">
        <v>1500</v>
      </c>
      <c r="J10" s="12">
        <v>500</v>
      </c>
    </row>
    <row r="11" spans="1:16">
      <c r="A11" s="11"/>
      <c r="B11" s="13"/>
      <c r="C11" s="13"/>
      <c r="D11" s="13"/>
      <c r="E11" s="13" t="s">
        <v>36</v>
      </c>
      <c r="F11" s="12">
        <v>1500</v>
      </c>
      <c r="J11" s="12">
        <v>1500</v>
      </c>
    </row>
    <row r="12" spans="1:16">
      <c r="A12" s="11"/>
      <c r="B12" s="13"/>
      <c r="C12" s="13"/>
      <c r="D12" s="13"/>
      <c r="E12" s="13" t="s">
        <v>23</v>
      </c>
      <c r="F12" s="12">
        <v>160</v>
      </c>
      <c r="H12" s="12">
        <v>160</v>
      </c>
    </row>
    <row r="13" spans="1:16">
      <c r="A13" s="11"/>
      <c r="B13" s="13"/>
      <c r="C13" s="13"/>
      <c r="D13" s="13"/>
      <c r="E13" s="13" t="s">
        <v>24</v>
      </c>
      <c r="F13" s="12">
        <v>400</v>
      </c>
      <c r="J13" s="12">
        <v>400</v>
      </c>
    </row>
    <row r="14" spans="1:16">
      <c r="A14" s="11"/>
      <c r="B14" s="13"/>
      <c r="C14" s="13"/>
      <c r="D14" s="13"/>
      <c r="E14" s="13" t="s">
        <v>25</v>
      </c>
      <c r="F14" s="12">
        <v>622</v>
      </c>
      <c r="J14" s="12">
        <v>622</v>
      </c>
    </row>
    <row r="15" spans="1:16">
      <c r="A15" s="11"/>
      <c r="B15" s="13"/>
      <c r="C15" s="13"/>
      <c r="D15" s="13"/>
      <c r="E15" s="13" t="s">
        <v>11</v>
      </c>
      <c r="F15" s="12">
        <v>6000</v>
      </c>
      <c r="H15" s="12"/>
    </row>
    <row r="16" spans="1:16">
      <c r="A16" s="11"/>
      <c r="B16" s="13"/>
      <c r="C16" s="13"/>
      <c r="D16" s="13"/>
      <c r="E16" s="13" t="s">
        <v>28</v>
      </c>
      <c r="F16" s="12">
        <v>4000</v>
      </c>
      <c r="H16" s="12"/>
    </row>
    <row r="17" spans="1:10">
      <c r="A17" s="11"/>
      <c r="B17" s="13"/>
      <c r="C17" s="13"/>
      <c r="D17" s="13"/>
      <c r="E17" s="13"/>
      <c r="F17" s="12"/>
      <c r="H17" s="12"/>
    </row>
    <row r="18" spans="1:10">
      <c r="A18" s="11"/>
      <c r="B18" s="13"/>
      <c r="C18" s="13"/>
      <c r="D18" s="13"/>
      <c r="E18" s="13"/>
      <c r="F18" s="12"/>
      <c r="H18" s="12"/>
    </row>
    <row r="19" spans="1:10">
      <c r="A19" s="11"/>
      <c r="B19" s="12">
        <f>SUM(B1:B6)</f>
        <v>52500</v>
      </c>
      <c r="C19" s="13"/>
      <c r="D19" s="13"/>
      <c r="E19" s="13" t="s">
        <v>12</v>
      </c>
      <c r="F19" s="12">
        <v>5000</v>
      </c>
      <c r="H19" s="12"/>
    </row>
    <row r="20" spans="1:10">
      <c r="A20" s="11"/>
      <c r="B20" s="13"/>
      <c r="C20" s="13"/>
      <c r="D20" s="13"/>
      <c r="E20" s="13" t="s">
        <v>13</v>
      </c>
      <c r="F20" s="12">
        <v>3000</v>
      </c>
      <c r="J20" s="12">
        <v>3000</v>
      </c>
    </row>
    <row r="21" spans="1:10">
      <c r="A21" s="11"/>
      <c r="B21" s="13"/>
      <c r="C21" s="13"/>
      <c r="D21" s="13"/>
      <c r="E21" s="13" t="s">
        <v>18</v>
      </c>
      <c r="F21" s="12">
        <v>524</v>
      </c>
      <c r="H21" s="12">
        <v>524</v>
      </c>
    </row>
    <row r="22" spans="1:10">
      <c r="A22" s="11"/>
      <c r="B22" s="13"/>
      <c r="C22" s="13"/>
      <c r="D22" s="13"/>
      <c r="E22" s="13" t="s">
        <v>20</v>
      </c>
      <c r="F22" s="12">
        <v>0</v>
      </c>
      <c r="H22" s="12">
        <v>0</v>
      </c>
    </row>
    <row r="23" spans="1:10">
      <c r="A23" s="11"/>
      <c r="B23" s="13"/>
      <c r="C23" s="13"/>
      <c r="D23" s="13"/>
      <c r="E23" s="13" t="s">
        <v>33</v>
      </c>
      <c r="F23" s="12">
        <v>0</v>
      </c>
      <c r="H23" s="12">
        <v>0</v>
      </c>
    </row>
    <row r="24" spans="1:10">
      <c r="A24" s="11"/>
      <c r="B24" s="13"/>
      <c r="C24" s="13"/>
      <c r="D24" s="13"/>
      <c r="E24" s="13" t="s">
        <v>21</v>
      </c>
      <c r="F24" s="12">
        <v>380</v>
      </c>
      <c r="H24" s="12"/>
    </row>
    <row r="25" spans="1:10">
      <c r="A25" s="11"/>
      <c r="B25" s="13"/>
      <c r="C25" s="13"/>
      <c r="D25" s="13"/>
      <c r="E25" s="13" t="s">
        <v>22</v>
      </c>
      <c r="F25" s="12">
        <v>0</v>
      </c>
      <c r="H25" s="12">
        <v>0</v>
      </c>
    </row>
    <row r="26" spans="1:10">
      <c r="A26" s="11"/>
      <c r="B26" s="13"/>
      <c r="C26" s="13"/>
      <c r="D26" s="13"/>
      <c r="E26" s="13" t="s">
        <v>27</v>
      </c>
      <c r="F26" s="12">
        <v>0</v>
      </c>
      <c r="H26" s="12">
        <v>0</v>
      </c>
    </row>
    <row r="27" spans="1:10">
      <c r="A27" s="11"/>
      <c r="B27" s="13"/>
      <c r="C27" s="13"/>
      <c r="D27" s="13"/>
      <c r="E27" s="13" t="s">
        <v>17</v>
      </c>
      <c r="F27" s="12">
        <v>400</v>
      </c>
      <c r="H27" s="12">
        <v>400</v>
      </c>
    </row>
    <row r="28" spans="1:10">
      <c r="A28" s="11"/>
      <c r="B28" s="13"/>
      <c r="C28" s="13"/>
      <c r="D28" s="13"/>
      <c r="E28" s="13"/>
      <c r="F28" s="12"/>
      <c r="H28" s="12"/>
    </row>
    <row r="29" spans="1:10">
      <c r="A29" s="11"/>
      <c r="B29" s="13"/>
      <c r="C29" s="13"/>
      <c r="D29" s="13"/>
      <c r="E29" s="13"/>
      <c r="F29" s="12"/>
      <c r="H29" s="12"/>
    </row>
    <row r="30" spans="1:10">
      <c r="A30" s="11"/>
      <c r="B30" s="13"/>
      <c r="C30" s="13"/>
      <c r="D30" s="13"/>
      <c r="E30" s="13"/>
      <c r="F30" s="12"/>
      <c r="H30" s="12"/>
    </row>
    <row r="31" spans="1:10">
      <c r="A31" s="11"/>
      <c r="B31" s="13"/>
      <c r="C31" s="13"/>
      <c r="D31" s="13"/>
      <c r="E31" s="13"/>
      <c r="F31" s="12"/>
      <c r="H31" s="12"/>
    </row>
    <row r="32" spans="1:10" ht="15" thickBot="1">
      <c r="A32" s="15"/>
      <c r="B32" s="15">
        <f>B19-F32</f>
        <v>215</v>
      </c>
      <c r="C32" s="15"/>
      <c r="D32" s="15"/>
      <c r="E32" s="15"/>
      <c r="F32" s="16">
        <f>SUM(F1:F31)</f>
        <v>52285</v>
      </c>
      <c r="H32" s="2">
        <f>SUM(H1:H31)</f>
        <v>22684</v>
      </c>
      <c r="J32">
        <f>SUM(J1:J31)</f>
        <v>9822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1136-C2F8-41B1-9BF0-1E816375C2F6}">
  <dimension ref="B1:Q34"/>
  <sheetViews>
    <sheetView workbookViewId="0">
      <selection activeCell="Q15" sqref="Q15"/>
    </sheetView>
  </sheetViews>
  <sheetFormatPr defaultRowHeight="14.4"/>
  <cols>
    <col min="4" max="4" width="12" customWidth="1"/>
    <col min="7" max="7" width="11.6640625" customWidth="1"/>
  </cols>
  <sheetData>
    <row r="1" spans="3:17">
      <c r="C1" t="s">
        <v>64</v>
      </c>
    </row>
    <row r="2" spans="3:17">
      <c r="C2" t="s">
        <v>65</v>
      </c>
      <c r="G2" t="s">
        <v>64</v>
      </c>
      <c r="K2" t="s">
        <v>69</v>
      </c>
    </row>
    <row r="3" spans="3:17">
      <c r="C3" t="s">
        <v>66</v>
      </c>
      <c r="G3" t="s">
        <v>65</v>
      </c>
      <c r="K3" t="s">
        <v>70</v>
      </c>
    </row>
    <row r="4" spans="3:17">
      <c r="C4" s="2">
        <v>6100</v>
      </c>
      <c r="G4" t="s">
        <v>66</v>
      </c>
      <c r="K4" t="s">
        <v>71</v>
      </c>
    </row>
    <row r="5" spans="3:17">
      <c r="C5" t="s">
        <v>67</v>
      </c>
      <c r="G5" s="2">
        <v>6100</v>
      </c>
      <c r="K5" t="s">
        <v>72</v>
      </c>
    </row>
    <row r="6" spans="3:17">
      <c r="C6" t="s">
        <v>68</v>
      </c>
      <c r="G6" t="s">
        <v>67</v>
      </c>
      <c r="K6" t="s">
        <v>73</v>
      </c>
    </row>
    <row r="7" spans="3:17">
      <c r="G7" t="s">
        <v>68</v>
      </c>
      <c r="K7" t="s">
        <v>74</v>
      </c>
    </row>
    <row r="8" spans="3:17">
      <c r="K8" t="s">
        <v>75</v>
      </c>
    </row>
    <row r="12" spans="3:17">
      <c r="C12" s="8" t="s">
        <v>76</v>
      </c>
      <c r="D12" s="8" t="s">
        <v>77</v>
      </c>
      <c r="F12" s="8" t="s">
        <v>78</v>
      </c>
      <c r="G12" s="8" t="s">
        <v>77</v>
      </c>
    </row>
    <row r="13" spans="3:17">
      <c r="C13" s="30">
        <v>4</v>
      </c>
      <c r="D13" s="31">
        <v>46388</v>
      </c>
      <c r="F13" s="30">
        <v>3</v>
      </c>
      <c r="G13" s="31">
        <v>46357</v>
      </c>
    </row>
    <row r="14" spans="3:17">
      <c r="C14" s="30">
        <v>17</v>
      </c>
      <c r="D14" s="31">
        <v>46357</v>
      </c>
      <c r="F14" s="30">
        <v>8</v>
      </c>
      <c r="G14" s="31">
        <v>46327</v>
      </c>
    </row>
    <row r="15" spans="3:17">
      <c r="C15" s="30">
        <v>8</v>
      </c>
      <c r="D15" s="31">
        <v>46327</v>
      </c>
      <c r="O15">
        <v>90</v>
      </c>
      <c r="P15">
        <v>90</v>
      </c>
      <c r="Q15">
        <v>85</v>
      </c>
    </row>
    <row r="18" spans="2:8">
      <c r="B18" s="45" t="s">
        <v>83</v>
      </c>
      <c r="C18" s="45"/>
      <c r="E18" s="45" t="s">
        <v>82</v>
      </c>
      <c r="F18" s="45"/>
    </row>
    <row r="19" spans="2:8">
      <c r="B19" s="3" t="s">
        <v>79</v>
      </c>
      <c r="C19" s="3">
        <v>4.8194999999999997</v>
      </c>
      <c r="E19" s="3" t="s">
        <v>79</v>
      </c>
      <c r="F19" s="3">
        <v>2.754</v>
      </c>
      <c r="H19">
        <f>C19-F19</f>
        <v>2.0654999999999997</v>
      </c>
    </row>
    <row r="20" spans="2:8">
      <c r="B20" s="3" t="s">
        <v>80</v>
      </c>
      <c r="C20" s="3">
        <v>1.573</v>
      </c>
      <c r="E20" s="3" t="s">
        <v>80</v>
      </c>
      <c r="F20" s="3">
        <v>1.573</v>
      </c>
      <c r="H20">
        <f t="shared" ref="H20:H21" si="0">C20-F20</f>
        <v>0</v>
      </c>
    </row>
    <row r="21" spans="2:8">
      <c r="B21" s="3" t="s">
        <v>81</v>
      </c>
      <c r="C21" s="3">
        <v>1.0399999999999999E-3</v>
      </c>
      <c r="E21" s="3" t="s">
        <v>81</v>
      </c>
      <c r="F21" s="3">
        <v>1.0399999999999999E-3</v>
      </c>
      <c r="H21">
        <f t="shared" si="0"/>
        <v>0</v>
      </c>
    </row>
    <row r="26" spans="2:8">
      <c r="B26" s="45" t="s">
        <v>83</v>
      </c>
      <c r="C26" s="45"/>
      <c r="E26" s="45" t="s">
        <v>82</v>
      </c>
      <c r="F26" s="45"/>
    </row>
    <row r="27" spans="2:8">
      <c r="B27" s="3" t="s">
        <v>79</v>
      </c>
      <c r="C27" s="3">
        <v>133</v>
      </c>
      <c r="E27" s="3" t="s">
        <v>79</v>
      </c>
      <c r="F27" s="3">
        <v>35</v>
      </c>
      <c r="H27">
        <f>C27-F27</f>
        <v>98</v>
      </c>
    </row>
    <row r="28" spans="2:8">
      <c r="B28" s="3" t="s">
        <v>80</v>
      </c>
      <c r="C28" s="3">
        <v>51</v>
      </c>
      <c r="E28" s="3" t="s">
        <v>80</v>
      </c>
      <c r="F28" s="3">
        <v>0</v>
      </c>
      <c r="H28">
        <f t="shared" ref="H28:H29" si="1">C28-F28</f>
        <v>51</v>
      </c>
    </row>
    <row r="29" spans="2:8">
      <c r="B29" s="3" t="s">
        <v>81</v>
      </c>
      <c r="C29" s="3">
        <v>25</v>
      </c>
      <c r="E29" s="3" t="s">
        <v>81</v>
      </c>
      <c r="F29" s="3">
        <v>0</v>
      </c>
      <c r="H29">
        <f t="shared" si="1"/>
        <v>25</v>
      </c>
    </row>
    <row r="31" spans="2:8">
      <c r="B31" s="46" t="s">
        <v>84</v>
      </c>
      <c r="C31" s="46"/>
      <c r="E31" s="46" t="s">
        <v>85</v>
      </c>
      <c r="F31" s="46"/>
    </row>
    <row r="32" spans="2:8">
      <c r="B32" s="33" t="s">
        <v>79</v>
      </c>
      <c r="C32" s="33">
        <f>C19*C27</f>
        <v>640.99349999999993</v>
      </c>
      <c r="E32" s="33" t="s">
        <v>79</v>
      </c>
      <c r="F32" s="33">
        <f>F19*F27</f>
        <v>96.39</v>
      </c>
      <c r="H32">
        <f>C32-F32</f>
        <v>544.60349999999994</v>
      </c>
    </row>
    <row r="33" spans="2:8">
      <c r="B33" s="33" t="s">
        <v>80</v>
      </c>
      <c r="C33" s="33">
        <f t="shared" ref="C33:C34" si="2">C20*C28</f>
        <v>80.222999999999999</v>
      </c>
      <c r="E33" s="33" t="s">
        <v>80</v>
      </c>
      <c r="F33" s="33">
        <f t="shared" ref="F33:F34" si="3">F20*F28</f>
        <v>0</v>
      </c>
      <c r="H33">
        <f t="shared" ref="H33:H34" si="4">C33-F33</f>
        <v>80.222999999999999</v>
      </c>
    </row>
    <row r="34" spans="2:8">
      <c r="B34" s="33" t="s">
        <v>81</v>
      </c>
      <c r="C34" s="33">
        <f t="shared" si="2"/>
        <v>2.5999999999999999E-2</v>
      </c>
      <c r="E34" s="33" t="s">
        <v>81</v>
      </c>
      <c r="F34" s="33">
        <f t="shared" si="3"/>
        <v>0</v>
      </c>
      <c r="H34">
        <f t="shared" si="4"/>
        <v>2.5999999999999999E-2</v>
      </c>
    </row>
  </sheetData>
  <mergeCells count="6">
    <mergeCell ref="E18:F18"/>
    <mergeCell ref="B18:C18"/>
    <mergeCell ref="B26:C26"/>
    <mergeCell ref="E26:F26"/>
    <mergeCell ref="B31:C31"/>
    <mergeCell ref="E31:F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Inklomste vir Belasting 2025</vt:lpstr>
      <vt:lpstr>Inklomste vir Belasting 2026</vt:lpstr>
      <vt:lpstr>Sheet1</vt:lpstr>
      <vt:lpstr>Sheet5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Schultz</dc:creator>
  <cp:lastModifiedBy>Johan Schultz</cp:lastModifiedBy>
  <dcterms:created xsi:type="dcterms:W3CDTF">2026-02-16T09:02:21Z</dcterms:created>
  <dcterms:modified xsi:type="dcterms:W3CDTF">2026-10-05T04:41:05Z</dcterms:modified>
</cp:coreProperties>
</file>